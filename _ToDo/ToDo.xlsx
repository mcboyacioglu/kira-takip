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boyacioglu/Library/CloudStorage/GoogleDrive-mcboyacioglu@gmail.com/My Drive/00 - Personal/Financing/Investments/Kira Takip/_ToDo/"/>
    </mc:Choice>
  </mc:AlternateContent>
  <xr:revisionPtr revIDLastSave="0" documentId="13_ncr:1_{EC14E8EE-5900-6341-9EA6-A7F787352FFA}" xr6:coauthVersionLast="47" xr6:coauthVersionMax="47" xr10:uidLastSave="{00000000-0000-0000-0000-000000000000}"/>
  <bookViews>
    <workbookView xWindow="0" yWindow="780" windowWidth="36000" windowHeight="21560" xr2:uid="{F06FD0EB-CBD4-0346-950B-9C0F7C65DBDE}"/>
  </bookViews>
  <sheets>
    <sheet name="ToDo" sheetId="8" r:id="rId1"/>
    <sheet name="Emre Barut - Done" sheetId="9" r:id="rId2"/>
    <sheet name="Murat Bayram - Done" sheetId="10" r:id="rId3"/>
    <sheet name="Birevim - Done" sheetId="5" r:id="rId4"/>
    <sheet name="Red Nirvana - Done" sheetId="6" r:id="rId5"/>
    <sheet name="GOP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/>
  <c r="A5" i="10" s="1"/>
  <c r="A7" i="10" s="1"/>
  <c r="A9" i="10" s="1"/>
  <c r="A10" i="10" s="1"/>
  <c r="A14" i="10" s="1"/>
  <c r="A17" i="10" s="1"/>
  <c r="A20" i="10" s="1"/>
  <c r="A23" i="10" s="1"/>
  <c r="A26" i="10" s="1"/>
  <c r="A29" i="10" s="1"/>
  <c r="A32" i="10" s="1"/>
  <c r="A34" i="10" s="1"/>
  <c r="A36" i="10" s="1"/>
  <c r="A38" i="10" s="1"/>
  <c r="A41" i="10" s="1"/>
  <c r="A43" i="10" s="1"/>
  <c r="A46" i="10" s="1"/>
  <c r="A49" i="10" s="1"/>
  <c r="A52" i="10" s="1"/>
  <c r="A55" i="10" s="1"/>
  <c r="A58" i="10" s="1"/>
  <c r="A61" i="10" s="1"/>
  <c r="C51" i="6"/>
  <c r="C52" i="6" s="1"/>
  <c r="A10" i="5" l="1"/>
  <c r="A13" i="5" s="1"/>
  <c r="A16" i="5" s="1"/>
  <c r="A19" i="5" s="1"/>
  <c r="A22" i="5" s="1"/>
  <c r="A25" i="5" s="1"/>
  <c r="A28" i="5" s="1"/>
  <c r="A9" i="5"/>
  <c r="A12" i="5" s="1"/>
  <c r="A15" i="5" s="1"/>
  <c r="A18" i="5" s="1"/>
  <c r="A21" i="5" s="1"/>
  <c r="A24" i="5" s="1"/>
  <c r="A27" i="5" s="1"/>
  <c r="A8" i="5"/>
  <c r="A11" i="5" s="1"/>
  <c r="A14" i="5" s="1"/>
  <c r="A17" i="5" s="1"/>
  <c r="A20" i="5" s="1"/>
  <c r="A23" i="5" s="1"/>
  <c r="A26" i="5" s="1"/>
  <c r="E21" i="7"/>
  <c r="E20" i="7"/>
  <c r="E14" i="7"/>
  <c r="E16" i="7" s="1"/>
  <c r="E6" i="7"/>
  <c r="I5" i="7"/>
  <c r="I4" i="7"/>
  <c r="C13" i="7" l="1"/>
  <c r="B13" i="7" s="1"/>
  <c r="C12" i="7"/>
  <c r="B12" i="7" s="1"/>
  <c r="C14" i="7"/>
  <c r="B14" i="7" s="1"/>
  <c r="I6" i="7"/>
  <c r="I7" i="7" s="1"/>
  <c r="E22" i="7"/>
  <c r="E8" i="7"/>
  <c r="B7" i="7" l="1"/>
  <c r="C4" i="7"/>
  <c r="B5" i="7"/>
  <c r="H5" i="7" s="1"/>
  <c r="B4" i="7"/>
  <c r="H4" i="7" s="1"/>
  <c r="C5" i="7"/>
  <c r="C7" i="7"/>
  <c r="C6" i="7"/>
  <c r="E24" i="7"/>
  <c r="B6" i="7"/>
  <c r="H6" i="7" s="1"/>
  <c r="C23" i="7" l="1"/>
  <c r="C20" i="7"/>
  <c r="C21" i="7"/>
  <c r="C22" i="7"/>
</calcChain>
</file>

<file path=xl/sharedStrings.xml><?xml version="1.0" encoding="utf-8"?>
<sst xmlns="http://schemas.openxmlformats.org/spreadsheetml/2006/main" count="3105" uniqueCount="115">
  <si>
    <t>tahakkuk</t>
  </si>
  <si>
    <t>Birevim</t>
  </si>
  <si>
    <t>odeme_banka</t>
  </si>
  <si>
    <t>4 aylik pesin odeme</t>
  </si>
  <si>
    <t>TRY</t>
  </si>
  <si>
    <t>GOP - 4 - Sag Buyuk</t>
  </si>
  <si>
    <t>Can B.</t>
  </si>
  <si>
    <t>Selim K.</t>
  </si>
  <si>
    <t>Kira tahakkuku</t>
  </si>
  <si>
    <t>FTD</t>
  </si>
  <si>
    <t>132000'lik cek tahsil edildi.</t>
  </si>
  <si>
    <t>Cek alindi</t>
  </si>
  <si>
    <t>Geriye donuk kira farki icin</t>
  </si>
  <si>
    <t>57800 - 31/07/21</t>
  </si>
  <si>
    <t>66000 - Selim tahsil etti</t>
  </si>
  <si>
    <t>57800 - Can tahsil etti</t>
  </si>
  <si>
    <t>Ilk odenen rakamlar</t>
  </si>
  <si>
    <t>Oranlar</t>
  </si>
  <si>
    <t>Toplam odenen rakam</t>
  </si>
  <si>
    <t>Can</t>
  </si>
  <si>
    <t>Arzu</t>
  </si>
  <si>
    <t>Selim</t>
  </si>
  <si>
    <t>Alihan</t>
  </si>
  <si>
    <t>Alihan'in oraninin alinmasi icin odenen rakamlar</t>
  </si>
  <si>
    <t>Otomatik Tahakkuk icin kod. Her gun kira tarihlerine bakarak saat 06:00'da otomatik tahakkuk yapilacak ve ilgili veri otomatik olarak girilecek.</t>
  </si>
  <si>
    <t>Selim - Can arasindaki mahsuplasma icin gerekli olan bilgi raporlanacak.</t>
  </si>
  <si>
    <t>Geriye donuk eski bilgileri de sisteme gir.</t>
  </si>
  <si>
    <t>GOP - 1 - Sol Buyuk</t>
  </si>
  <si>
    <t>Alinan cek bilgilerinin sisteme girilebilmesi.</t>
  </si>
  <si>
    <t>Alinan cekler ile ilgili hatirlatma bilgisi.</t>
  </si>
  <si>
    <t>Eklerin yuklenmesinde hata oluyor.</t>
  </si>
  <si>
    <t>DONE</t>
  </si>
  <si>
    <t>Cek tahsil edildi - 108.000 TL</t>
  </si>
  <si>
    <t>Cek tahsil edildi - 156.000 TL</t>
  </si>
  <si>
    <t>Cek tahsil edildi - 171600 TL</t>
  </si>
  <si>
    <t>Cek tahsil edildi - 118800 TL</t>
  </si>
  <si>
    <t>Cek alindi - 108K - 15/06/19 - 156K-31/06/19</t>
  </si>
  <si>
    <t>Cek alindi - 66K - 31/05/21</t>
  </si>
  <si>
    <t>Iki aylik kira silindi - 15/07/21 cikis tarihi olarak anlasildi</t>
  </si>
  <si>
    <t>Sira No</t>
  </si>
  <si>
    <t>Donem</t>
  </si>
  <si>
    <t>Tarih</t>
  </si>
  <si>
    <t>Miktar</t>
  </si>
  <si>
    <t>Aciklama</t>
  </si>
  <si>
    <t>Aciklama (Ek)</t>
  </si>
  <si>
    <t>Odeme yapilan kisi</t>
  </si>
  <si>
    <t>Kiraci</t>
  </si>
  <si>
    <t>Iki kira pesin + 1 kira depozit anlasildi. Kira baslangici 01/08/2021</t>
  </si>
  <si>
    <t>Sibel Abdukaya</t>
  </si>
  <si>
    <t>Selim'e elden odeme</t>
  </si>
  <si>
    <t>Selim'e depozito odendi elden (1 aylik kira karsiligi 51K) - 01/10/2022</t>
  </si>
  <si>
    <t>RED NIRVANA TEKSTIL</t>
  </si>
  <si>
    <t>Selim'e iki kira pesin'in 49K'si odendi</t>
  </si>
  <si>
    <t>Selim'e iki kira pesin kalan kismi odendi (51K x 2 - 45K - 49K)</t>
  </si>
  <si>
    <t>Tamami Selim'in bankasina - 2 aylik pesin odeme (2x22500)</t>
  </si>
  <si>
    <t>Bankaya yapilan odeme</t>
  </si>
  <si>
    <t>7875(Can)+14625(Selim) Herkesin kendi bankasina</t>
  </si>
  <si>
    <t>9850(Can)+15150(Selim) (Oranlar yanlis olmus.) Toplam dogru</t>
  </si>
  <si>
    <t>Kur (28.00)</t>
  </si>
  <si>
    <t>8750(Can)+16250(Selim) Herkesin kendi bankasina</t>
  </si>
  <si>
    <t>Kur (28.37)</t>
  </si>
  <si>
    <t>7650(Can)+17350(Selim) (Oranlar yanlis olmus.) Toplam dogru</t>
  </si>
  <si>
    <t>Kur (28.93)</t>
  </si>
  <si>
    <t>Kur (29.84)</t>
  </si>
  <si>
    <t>9850(Can)+15150(Selim) Onceki hatalar duzeltildi</t>
  </si>
  <si>
    <t>Kur (30.64)</t>
  </si>
  <si>
    <t>Kur (32.39)</t>
  </si>
  <si>
    <t>Kur (32.30)</t>
  </si>
  <si>
    <t>(Kur=32.258)</t>
  </si>
  <si>
    <t>(Kur=33,1774)</t>
  </si>
  <si>
    <t>Kira artisi 1 ay ertelendi. Kasim'dan itibaren 3400 oldu</t>
  </si>
  <si>
    <t>Kira artisi 1 ay ertelendi. Kasim 2025'ten itibaren 3740 oldu</t>
  </si>
  <si>
    <t>Kiracinin odedigi tadilat</t>
  </si>
  <si>
    <t>4600 TL - Kanalizasyon tamiri icin dukkkanin payina dusen rakam</t>
  </si>
  <si>
    <t>KIRA ARTIS DONEMI</t>
  </si>
  <si>
    <t>kira_tahakkuku</t>
  </si>
  <si>
    <t>kira_odeme_nakit</t>
  </si>
  <si>
    <t>kira_odeme_banka</t>
  </si>
  <si>
    <t>RED NIRVANA</t>
  </si>
  <si>
    <t>depozito_nakit</t>
  </si>
  <si>
    <t/>
  </si>
  <si>
    <t>USD</t>
  </si>
  <si>
    <t>masraf_kiradan_dusulen</t>
  </si>
  <si>
    <t>Cek alindi - 118,8K -31/07/20 -171,6K -31/07/20</t>
  </si>
  <si>
    <t>Iki kira pesin + 1 kira depozit anlasildi. Kira baslangici 15/05/2021</t>
  </si>
  <si>
    <t>Murat Pervaz</t>
  </si>
  <si>
    <t>Selim'e iki kira pesin odendi</t>
  </si>
  <si>
    <t>Tamami Can'in bankasina - 2 aylik pesin odeme</t>
  </si>
  <si>
    <t>GOP - 3 - Sag Kucuk</t>
  </si>
  <si>
    <t>depozito_iade</t>
  </si>
  <si>
    <t>Emre Barut</t>
  </si>
  <si>
    <t>Selim'e bir kira pesin odendi</t>
  </si>
  <si>
    <t>Kira artisi yapildi - 24000 (11/10/2022)</t>
  </si>
  <si>
    <t>Kur:28.14</t>
  </si>
  <si>
    <t>Gecikme</t>
  </si>
  <si>
    <t>Artis Aralik ayindan itibaren basladi</t>
  </si>
  <si>
    <t>Iki kira pesin + 1 kira depozit anlasildi. Kira baslangici 01/10/2021</t>
  </si>
  <si>
    <t>Murat Bayram</t>
  </si>
  <si>
    <t>Selim'e elden odeme - Ekim ve Kasim Gecikmis Kiralari</t>
  </si>
  <si>
    <t>Selim'e elden odeme - Aralik ve Ocak 2024 Gecikmis Kiralari</t>
  </si>
  <si>
    <t>Selim'e elden odeme - Subat ve Mart 2024</t>
  </si>
  <si>
    <t>Selim'e elden odeme - Nisan, Mayis, Haziran 2024</t>
  </si>
  <si>
    <t>Selim'e elden odeme - Temmuz, Agustos, Eylul, Ekim 2024</t>
  </si>
  <si>
    <t>Selim'e elden odeme - Ekim ayi farki, Kasim, Aralik, Ocak</t>
  </si>
  <si>
    <t>Selim'e elden Subat ve Mart aylari odemesi yapildi</t>
  </si>
  <si>
    <t>Selim'e elden Nisan, Mayis, Haziran aylari odemesi yapildi</t>
  </si>
  <si>
    <t>Selim'e elden Temmuz, Agustos, Eylul aylari odemesi yapildi</t>
  </si>
  <si>
    <t>Selim'e elden Ekim, Kasim, Aralik ayi odemeleri yapildi. Eksik var.</t>
  </si>
  <si>
    <t>Selim'e elden Ocak, Subat ve onceki eksik odeme yapildi.</t>
  </si>
  <si>
    <t>7000 + onceki aylar icin 8000 TL</t>
  </si>
  <si>
    <t>7000 + onceki aylar icin 9000 TL</t>
  </si>
  <si>
    <t>GEC ODEME</t>
  </si>
  <si>
    <t>GEC &amp; EKSIK ODEME</t>
  </si>
  <si>
    <t>GOP - 2 - Sol Kucuk</t>
  </si>
  <si>
    <t xml:space="preserve">Birevim ve Murat Bayramin eski bilgilerini de gir. Deposito vs. bilgileri eksik.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</si>
</sst>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dd/mm/yyyy"/>
    <numFmt numFmtId="166" formatCode="_([$TRY]\ * #,##0.00_);_([$TRY]\ * \(#,##0.00\);_([$TRY]\ * &quot;-&quot;??_);_(@_)"/>
    <numFmt numFmtId="167" formatCode="_-[$$-409]* #,##0.00_ ;_-[$$-409]* \-#,##0.00\ ;_-[$$-409]* &quot;-&quot;??_ ;_-@_ "/>
    <numFmt numFmtId="168" formatCode="_([$$-409]* #,##0.00_);_([$$-409]* \(#,##0.00\);_([$$-409]* &quot;-&quot;??_);_(@_)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2"/>
      <color rgb="FF969696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double">
        <color auto="1"/>
      </bottom>
      <diagonal/>
    </border>
    <border>
      <left style="thin">
        <color rgb="FF7F7F7F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72">
    <xf numFmtId="0" fontId="0" fillId="0" borderId="0" xfId="0"/>
    <xf numFmtId="0" fontId="7" fillId="0" borderId="0" xfId="0" applyFont="1"/>
    <xf numFmtId="164" fontId="0" fillId="0" borderId="0" xfId="0" applyNumberFormat="1"/>
    <xf numFmtId="0" fontId="2" fillId="2" borderId="2" xfId="2" applyBorder="1"/>
    <xf numFmtId="164" fontId="3" fillId="3" borderId="0" xfId="3" applyNumberFormat="1"/>
    <xf numFmtId="0" fontId="3" fillId="3" borderId="0" xfId="3"/>
    <xf numFmtId="164" fontId="4" fillId="4" borderId="0" xfId="4" applyNumberFormat="1"/>
    <xf numFmtId="0" fontId="4" fillId="4" borderId="0" xfId="4"/>
    <xf numFmtId="164" fontId="2" fillId="2" borderId="0" xfId="2" applyNumberFormat="1"/>
    <xf numFmtId="0" fontId="2" fillId="2" borderId="0" xfId="2"/>
    <xf numFmtId="2" fontId="0" fillId="0" borderId="0" xfId="0" applyNumberFormat="1"/>
    <xf numFmtId="2" fontId="2" fillId="2" borderId="0" xfId="2" applyNumberFormat="1"/>
    <xf numFmtId="2" fontId="3" fillId="3" borderId="0" xfId="3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3" xfId="0" applyFont="1" applyBorder="1"/>
    <xf numFmtId="0" fontId="10" fillId="0" borderId="3" xfId="0" applyFont="1" applyBorder="1"/>
    <xf numFmtId="10" fontId="10" fillId="0" borderId="0" xfId="1" applyNumberFormat="1" applyFont="1"/>
    <xf numFmtId="10" fontId="9" fillId="0" borderId="0" xfId="1" applyNumberFormat="1" applyFont="1"/>
    <xf numFmtId="167" fontId="9" fillId="0" borderId="0" xfId="0" applyNumberFormat="1" applyFont="1"/>
    <xf numFmtId="10" fontId="10" fillId="0" borderId="3" xfId="0" applyNumberFormat="1" applyFont="1" applyBorder="1"/>
    <xf numFmtId="167" fontId="9" fillId="0" borderId="3" xfId="0" applyNumberFormat="1" applyFont="1" applyBorder="1"/>
    <xf numFmtId="0" fontId="10" fillId="0" borderId="5" xfId="0" applyFont="1" applyBorder="1"/>
    <xf numFmtId="10" fontId="10" fillId="0" borderId="5" xfId="0" applyNumberFormat="1" applyFont="1" applyBorder="1"/>
    <xf numFmtId="167" fontId="9" fillId="0" borderId="5" xfId="0" applyNumberFormat="1" applyFont="1" applyBorder="1"/>
    <xf numFmtId="0" fontId="9" fillId="0" borderId="4" xfId="0" applyFont="1" applyBorder="1"/>
    <xf numFmtId="167" fontId="10" fillId="0" borderId="4" xfId="0" applyNumberFormat="1" applyFont="1" applyBorder="1"/>
    <xf numFmtId="10" fontId="9" fillId="0" borderId="0" xfId="0" applyNumberFormat="1" applyFont="1"/>
    <xf numFmtId="167" fontId="10" fillId="0" borderId="0" xfId="0" applyNumberFormat="1" applyFont="1"/>
    <xf numFmtId="10" fontId="10" fillId="0" borderId="0" xfId="0" applyNumberFormat="1" applyFont="1"/>
    <xf numFmtId="168" fontId="0" fillId="0" borderId="0" xfId="0" applyNumberFormat="1"/>
    <xf numFmtId="0" fontId="2" fillId="2" borderId="0" xfId="2" applyBorder="1"/>
    <xf numFmtId="2" fontId="4" fillId="4" borderId="0" xfId="4" applyNumberFormat="1"/>
    <xf numFmtId="0" fontId="6" fillId="0" borderId="0" xfId="0" applyFont="1"/>
    <xf numFmtId="2" fontId="3" fillId="3" borderId="0" xfId="3" applyNumberFormat="1" applyBorder="1"/>
    <xf numFmtId="0" fontId="3" fillId="3" borderId="0" xfId="3" applyBorder="1"/>
    <xf numFmtId="0" fontId="3" fillId="3" borderId="2" xfId="3" applyBorder="1"/>
    <xf numFmtId="0" fontId="5" fillId="5" borderId="1" xfId="5"/>
    <xf numFmtId="0" fontId="3" fillId="3" borderId="2" xfId="3" applyBorder="1" applyAlignment="1">
      <alignment wrapText="1"/>
    </xf>
    <xf numFmtId="0" fontId="3" fillId="3" borderId="1" xfId="3" applyBorder="1"/>
    <xf numFmtId="2" fontId="2" fillId="2" borderId="0" xfId="2" applyNumberFormat="1" applyBorder="1"/>
    <xf numFmtId="0" fontId="2" fillId="2" borderId="1" xfId="2" applyBorder="1"/>
    <xf numFmtId="164" fontId="2" fillId="2" borderId="1" xfId="2" applyNumberFormat="1" applyBorder="1"/>
    <xf numFmtId="2" fontId="2" fillId="2" borderId="1" xfId="2" applyNumberFormat="1" applyBorder="1"/>
    <xf numFmtId="165" fontId="8" fillId="0" borderId="0" xfId="0" applyNumberFormat="1" applyFont="1"/>
    <xf numFmtId="0" fontId="11" fillId="5" borderId="1" xfId="5" applyNumberFormat="1" applyFont="1"/>
    <xf numFmtId="17" fontId="11" fillId="5" borderId="1" xfId="5" applyNumberFormat="1" applyFont="1"/>
    <xf numFmtId="165" fontId="11" fillId="5" borderId="1" xfId="5" applyNumberFormat="1" applyFont="1"/>
    <xf numFmtId="166" fontId="11" fillId="5" borderId="1" xfId="5" applyNumberFormat="1" applyFont="1"/>
    <xf numFmtId="0" fontId="11" fillId="5" borderId="1" xfId="5" applyFont="1"/>
    <xf numFmtId="168" fontId="11" fillId="5" borderId="1" xfId="5" applyNumberFormat="1" applyFont="1"/>
    <xf numFmtId="0" fontId="12" fillId="5" borderId="1" xfId="5" applyFont="1"/>
    <xf numFmtId="165" fontId="12" fillId="5" borderId="1" xfId="5" applyNumberFormat="1" applyFont="1"/>
    <xf numFmtId="168" fontId="13" fillId="0" borderId="0" xfId="0" applyNumberFormat="1" applyFont="1"/>
    <xf numFmtId="0" fontId="2" fillId="2" borderId="1" xfId="2" applyBorder="1" applyAlignment="1">
      <alignment wrapText="1"/>
    </xf>
    <xf numFmtId="0" fontId="2" fillId="2" borderId="0" xfId="2" applyNumberFormat="1"/>
    <xf numFmtId="0" fontId="2" fillId="2" borderId="0" xfId="2" applyBorder="1" applyAlignment="1">
      <alignment wrapText="1"/>
    </xf>
    <xf numFmtId="0" fontId="2" fillId="2" borderId="6" xfId="2" applyBorder="1"/>
    <xf numFmtId="0" fontId="2" fillId="2" borderId="7" xfId="2" applyBorder="1"/>
    <xf numFmtId="0" fontId="2" fillId="2" borderId="6" xfId="2" applyNumberFormat="1" applyBorder="1"/>
    <xf numFmtId="0" fontId="2" fillId="2" borderId="0" xfId="2" applyNumberFormat="1" applyBorder="1"/>
    <xf numFmtId="0" fontId="2" fillId="2" borderId="9" xfId="2" applyNumberFormat="1" applyBorder="1"/>
    <xf numFmtId="0" fontId="2" fillId="2" borderId="9" xfId="2" applyBorder="1"/>
    <xf numFmtId="0" fontId="2" fillId="2" borderId="10" xfId="2" applyBorder="1"/>
    <xf numFmtId="0" fontId="2" fillId="2" borderId="7" xfId="2" applyNumberFormat="1" applyBorder="1"/>
    <xf numFmtId="0" fontId="2" fillId="2" borderId="8" xfId="2" applyNumberFormat="1" applyBorder="1"/>
    <xf numFmtId="0" fontId="2" fillId="2" borderId="11" xfId="2" applyBorder="1"/>
    <xf numFmtId="17" fontId="2" fillId="2" borderId="12" xfId="2" applyNumberFormat="1" applyBorder="1" applyAlignment="1">
      <alignment horizontal="center"/>
    </xf>
    <xf numFmtId="164" fontId="4" fillId="0" borderId="0" xfId="4" applyNumberFormat="1" applyFill="1"/>
    <xf numFmtId="0" fontId="0" fillId="0" borderId="0" xfId="0" applyFill="1"/>
    <xf numFmtId="2" fontId="4" fillId="0" borderId="0" xfId="4" applyNumberFormat="1" applyFill="1"/>
  </cellXfs>
  <cellStyles count="6">
    <cellStyle name="Bad" xfId="3" builtinId="27"/>
    <cellStyle name="Calculation" xfId="5" builtinId="22"/>
    <cellStyle name="Good" xfId="2" builtinId="26"/>
    <cellStyle name="Neutral" xfId="4" builtinId="28"/>
    <cellStyle name="Normal" xfId="0" builtinId="0"/>
    <cellStyle name="Percent" xfId="1" builtinId="5"/>
  </cellStyles>
  <dxfs count="10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6" formatCode="_([$TRY]\ * #,##0.00_);_([$TRY]\ * \(#,##0.00\);_([$TRY]\ * &quot;-&quot;??_);_(@_)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5" formatCode="dd/mm/yyyy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BB4C4-0D1D-8F4B-B7EC-6DC0D2F3A69B}" name="Table149" displayName="Table149" ref="A393:H511" totalsRowShown="0" headerRowDxfId="9" dataDxfId="8" dataCellStyle="Calculation">
  <autoFilter ref="A393:H511" xr:uid="{722BB4C4-0D1D-8F4B-B7EC-6DC0D2F3A69B}"/>
  <tableColumns count="8">
    <tableColumn id="8" xr3:uid="{E4353199-868F-A745-B113-C94B2DF7FABA}" name="Sira No" dataDxfId="7" dataCellStyle="Calculation"/>
    <tableColumn id="1" xr3:uid="{648DC343-9038-5C4D-909E-A03DE7B831BF}" name="Donem" dataDxfId="6" dataCellStyle="Calculation"/>
    <tableColumn id="2" xr3:uid="{FF684CF4-774A-BD42-9D86-734A37FB638A}" name="Tarih" dataDxfId="5" dataCellStyle="Calculation"/>
    <tableColumn id="3" xr3:uid="{9657B166-7119-A143-8C97-577E5D49013F}" name="Miktar" dataDxfId="4" dataCellStyle="Calculation"/>
    <tableColumn id="4" xr3:uid="{0A2E262E-A0CE-A04C-AD37-B9360F62E3A0}" name="Aciklama" dataDxfId="3" dataCellStyle="Calculation"/>
    <tableColumn id="7" xr3:uid="{7278DAE8-5114-7544-9FC7-E6CD214109FD}" name="Aciklama (Ek)" dataDxfId="2" dataCellStyle="Calculation"/>
    <tableColumn id="9" xr3:uid="{F29E0490-BF08-C743-9385-EAB0B43E1318}" name="Odeme yapilan kisi" dataDxfId="1" dataCellStyle="Calculation"/>
    <tableColumn id="6" xr3:uid="{2DD68ABE-E1DE-4249-9C3F-9101EDEED960}" name="Kiraci" dataDxfId="0" dataCellStyle="Calc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6C64-FB85-F347-913C-E90A8F7D1A61}">
  <dimension ref="A1:B7"/>
  <sheetViews>
    <sheetView tabSelected="1" workbookViewId="0">
      <selection activeCell="A8" sqref="A8"/>
    </sheetView>
  </sheetViews>
  <sheetFormatPr baseColWidth="10" defaultRowHeight="16" x14ac:dyDescent="0.2"/>
  <cols>
    <col min="1" max="1" width="115.6640625" bestFit="1" customWidth="1"/>
  </cols>
  <sheetData>
    <row r="1" spans="1:2" x14ac:dyDescent="0.2">
      <c r="A1" t="s">
        <v>24</v>
      </c>
    </row>
    <row r="2" spans="1:2" x14ac:dyDescent="0.2">
      <c r="A2" t="s">
        <v>25</v>
      </c>
    </row>
    <row r="3" spans="1:2" x14ac:dyDescent="0.2">
      <c r="A3" t="s">
        <v>26</v>
      </c>
    </row>
    <row r="4" spans="1:2" x14ac:dyDescent="0.2">
      <c r="A4" t="s">
        <v>28</v>
      </c>
    </row>
    <row r="5" spans="1:2" x14ac:dyDescent="0.2">
      <c r="A5" t="s">
        <v>29</v>
      </c>
    </row>
    <row r="6" spans="1:2" x14ac:dyDescent="0.2">
      <c r="A6" s="9" t="s">
        <v>30</v>
      </c>
      <c r="B6" s="9" t="s">
        <v>31</v>
      </c>
    </row>
    <row r="7" spans="1:2" x14ac:dyDescent="0.2">
      <c r="A7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2EF0-2C32-CB44-878B-AE3BE93847B8}">
  <dimension ref="A1:H164"/>
  <sheetViews>
    <sheetView zoomScale="161" workbookViewId="0">
      <selection sqref="A1:H4"/>
    </sheetView>
  </sheetViews>
  <sheetFormatPr baseColWidth="10" defaultRowHeight="16" x14ac:dyDescent="0.2"/>
  <cols>
    <col min="1" max="1" width="10.5" bestFit="1" customWidth="1"/>
    <col min="2" max="2" width="16.33203125" bestFit="1" customWidth="1"/>
    <col min="3" max="3" width="9.33203125" style="11" bestFit="1" customWidth="1"/>
    <col min="4" max="4" width="10.33203125" bestFit="1" customWidth="1"/>
    <col min="5" max="5" width="17" bestFit="1" customWidth="1"/>
    <col min="6" max="6" width="30.33203125" bestFit="1" customWidth="1"/>
    <col min="7" max="7" width="7.5" bestFit="1" customWidth="1"/>
    <col min="8" max="8" width="47.5" customWidth="1"/>
  </cols>
  <sheetData>
    <row r="1" spans="1:8" x14ac:dyDescent="0.2">
      <c r="A1" s="8">
        <v>44313</v>
      </c>
      <c r="B1" s="56" t="s">
        <v>79</v>
      </c>
      <c r="C1" s="11">
        <v>13000</v>
      </c>
      <c r="D1" s="9" t="s">
        <v>4</v>
      </c>
      <c r="E1" s="9" t="s">
        <v>88</v>
      </c>
      <c r="F1" s="9" t="s">
        <v>85</v>
      </c>
      <c r="G1" s="9" t="s">
        <v>7</v>
      </c>
      <c r="H1" s="9" t="s">
        <v>84</v>
      </c>
    </row>
    <row r="2" spans="1:8" x14ac:dyDescent="0.2">
      <c r="A2" s="8">
        <v>44313</v>
      </c>
      <c r="B2" s="56" t="s">
        <v>76</v>
      </c>
      <c r="C2" s="11">
        <v>18000</v>
      </c>
      <c r="D2" s="9" t="s">
        <v>4</v>
      </c>
      <c r="E2" s="9" t="s">
        <v>88</v>
      </c>
      <c r="F2" s="9" t="s">
        <v>85</v>
      </c>
      <c r="G2" s="9" t="s">
        <v>7</v>
      </c>
      <c r="H2" s="9" t="s">
        <v>86</v>
      </c>
    </row>
    <row r="3" spans="1:8" ht="17" x14ac:dyDescent="0.2">
      <c r="A3" s="8">
        <v>44313</v>
      </c>
      <c r="B3" s="56" t="s">
        <v>77</v>
      </c>
      <c r="C3" s="11">
        <v>8000</v>
      </c>
      <c r="D3" s="9" t="s">
        <v>4</v>
      </c>
      <c r="E3" s="9" t="s">
        <v>88</v>
      </c>
      <c r="F3" s="9" t="s">
        <v>85</v>
      </c>
      <c r="G3" s="9" t="s">
        <v>6</v>
      </c>
      <c r="H3" s="57" t="s">
        <v>87</v>
      </c>
    </row>
    <row r="4" spans="1:8" x14ac:dyDescent="0.2">
      <c r="A4" s="8">
        <v>44331</v>
      </c>
      <c r="B4" s="56" t="s">
        <v>75</v>
      </c>
      <c r="C4" s="11">
        <v>-13000</v>
      </c>
      <c r="D4" s="9" t="s">
        <v>4</v>
      </c>
      <c r="E4" s="9" t="s">
        <v>88</v>
      </c>
      <c r="F4" s="9" t="s">
        <v>85</v>
      </c>
      <c r="G4" s="9"/>
      <c r="H4" s="9"/>
    </row>
    <row r="5" spans="1:8" x14ac:dyDescent="0.2">
      <c r="A5" s="8">
        <v>44362</v>
      </c>
      <c r="B5" s="56" t="s">
        <v>75</v>
      </c>
      <c r="C5" s="11">
        <v>-13000</v>
      </c>
      <c r="D5" s="9" t="s">
        <v>4</v>
      </c>
      <c r="E5" s="9" t="s">
        <v>88</v>
      </c>
      <c r="F5" s="9" t="s">
        <v>85</v>
      </c>
      <c r="G5" s="9"/>
      <c r="H5" s="9"/>
    </row>
    <row r="6" spans="1:8" x14ac:dyDescent="0.2">
      <c r="A6" s="8">
        <v>44392</v>
      </c>
      <c r="B6" s="56" t="s">
        <v>75</v>
      </c>
      <c r="C6" s="11">
        <v>-13000</v>
      </c>
      <c r="D6" s="9" t="s">
        <v>4</v>
      </c>
      <c r="E6" s="9" t="s">
        <v>88</v>
      </c>
      <c r="F6" s="9" t="s">
        <v>85</v>
      </c>
      <c r="G6" s="9"/>
      <c r="H6" s="9"/>
    </row>
    <row r="7" spans="1:8" x14ac:dyDescent="0.2">
      <c r="A7" s="8">
        <v>44413</v>
      </c>
      <c r="B7" s="56" t="s">
        <v>77</v>
      </c>
      <c r="C7" s="11">
        <v>4000</v>
      </c>
      <c r="D7" s="9" t="s">
        <v>4</v>
      </c>
      <c r="E7" s="9" t="s">
        <v>88</v>
      </c>
      <c r="F7" s="9" t="s">
        <v>85</v>
      </c>
      <c r="G7" s="9" t="s">
        <v>6</v>
      </c>
      <c r="H7" s="9"/>
    </row>
    <row r="8" spans="1:8" x14ac:dyDescent="0.2">
      <c r="A8" s="8">
        <v>44414</v>
      </c>
      <c r="B8" s="56" t="s">
        <v>76</v>
      </c>
      <c r="C8" s="11">
        <v>9000</v>
      </c>
      <c r="D8" s="9" t="s">
        <v>4</v>
      </c>
      <c r="E8" s="9" t="s">
        <v>88</v>
      </c>
      <c r="F8" s="9" t="s">
        <v>85</v>
      </c>
      <c r="G8" s="9" t="s">
        <v>7</v>
      </c>
      <c r="H8" s="9"/>
    </row>
    <row r="9" spans="1:8" ht="17" thickBot="1" x14ac:dyDescent="0.25">
      <c r="A9" s="8">
        <v>44423</v>
      </c>
      <c r="B9" s="56" t="s">
        <v>75</v>
      </c>
      <c r="C9" s="11">
        <v>-13000</v>
      </c>
      <c r="D9" s="9" t="s">
        <v>4</v>
      </c>
      <c r="E9" s="9" t="s">
        <v>88</v>
      </c>
      <c r="F9" s="9" t="s">
        <v>85</v>
      </c>
      <c r="G9" s="58"/>
      <c r="H9" s="58"/>
    </row>
    <row r="10" spans="1:8" ht="18" thickTop="1" thickBot="1" x14ac:dyDescent="0.25">
      <c r="A10" s="8">
        <v>44453</v>
      </c>
      <c r="B10" s="56" t="s">
        <v>89</v>
      </c>
      <c r="C10" s="11">
        <v>13000</v>
      </c>
      <c r="D10" s="9" t="s">
        <v>4</v>
      </c>
      <c r="E10" s="9" t="s">
        <v>88</v>
      </c>
      <c r="F10" s="9" t="s">
        <v>85</v>
      </c>
      <c r="G10" s="58"/>
      <c r="H10" s="58"/>
    </row>
    <row r="11" spans="1:8" ht="18" thickTop="1" thickBot="1" x14ac:dyDescent="0.25">
      <c r="A11" s="8">
        <v>44453</v>
      </c>
      <c r="B11" s="56" t="s">
        <v>76</v>
      </c>
      <c r="C11" s="11">
        <v>13000</v>
      </c>
      <c r="D11" s="9" t="s">
        <v>4</v>
      </c>
      <c r="E11" s="9" t="s">
        <v>88</v>
      </c>
      <c r="F11" s="9" t="s">
        <v>85</v>
      </c>
      <c r="G11" s="58" t="s">
        <v>7</v>
      </c>
      <c r="H11" s="58"/>
    </row>
    <row r="12" spans="1:8" ht="17" thickTop="1" x14ac:dyDescent="0.2">
      <c r="A12" s="8">
        <v>44467</v>
      </c>
      <c r="B12" s="56" t="s">
        <v>79</v>
      </c>
      <c r="C12" s="11">
        <v>13000</v>
      </c>
      <c r="D12" s="9" t="s">
        <v>4</v>
      </c>
      <c r="E12" s="9" t="s">
        <v>88</v>
      </c>
      <c r="F12" s="9" t="s">
        <v>90</v>
      </c>
      <c r="G12" s="9" t="s">
        <v>7</v>
      </c>
      <c r="H12" s="9" t="s">
        <v>96</v>
      </c>
    </row>
    <row r="13" spans="1:8" x14ac:dyDescent="0.2">
      <c r="A13" s="8">
        <v>44467</v>
      </c>
      <c r="B13" s="56" t="s">
        <v>76</v>
      </c>
      <c r="C13" s="11">
        <v>18000</v>
      </c>
      <c r="D13" s="9" t="s">
        <v>4</v>
      </c>
      <c r="E13" s="9" t="s">
        <v>88</v>
      </c>
      <c r="F13" s="9" t="s">
        <v>90</v>
      </c>
      <c r="G13" s="9" t="s">
        <v>7</v>
      </c>
      <c r="H13" s="9" t="s">
        <v>91</v>
      </c>
    </row>
    <row r="14" spans="1:8" ht="17" x14ac:dyDescent="0.2">
      <c r="A14" s="8">
        <v>44467</v>
      </c>
      <c r="B14" s="56" t="s">
        <v>77</v>
      </c>
      <c r="C14" s="11">
        <v>8000</v>
      </c>
      <c r="D14" s="9" t="s">
        <v>4</v>
      </c>
      <c r="E14" s="9" t="s">
        <v>88</v>
      </c>
      <c r="F14" s="9" t="s">
        <v>90</v>
      </c>
      <c r="G14" s="9" t="s">
        <v>6</v>
      </c>
      <c r="H14" s="57" t="s">
        <v>87</v>
      </c>
    </row>
    <row r="15" spans="1:8" x14ac:dyDescent="0.2">
      <c r="A15" s="8">
        <v>44470</v>
      </c>
      <c r="B15" s="32" t="s">
        <v>75</v>
      </c>
      <c r="C15" s="11">
        <v>-13000</v>
      </c>
      <c r="D15" s="9" t="s">
        <v>4</v>
      </c>
      <c r="E15" s="9" t="s">
        <v>88</v>
      </c>
      <c r="F15" s="9" t="s">
        <v>90</v>
      </c>
      <c r="G15" s="9"/>
      <c r="H15" s="9"/>
    </row>
    <row r="16" spans="1:8" x14ac:dyDescent="0.2">
      <c r="A16" s="8">
        <v>44501</v>
      </c>
      <c r="B16" s="32" t="s">
        <v>75</v>
      </c>
      <c r="C16" s="11">
        <v>-13000</v>
      </c>
      <c r="D16" s="9" t="s">
        <v>4</v>
      </c>
      <c r="E16" s="9" t="s">
        <v>88</v>
      </c>
      <c r="F16" s="9" t="s">
        <v>90</v>
      </c>
      <c r="G16" s="9"/>
      <c r="H16" s="9"/>
    </row>
    <row r="17" spans="1:8" x14ac:dyDescent="0.2">
      <c r="A17" s="8">
        <v>44531</v>
      </c>
      <c r="B17" s="9" t="s">
        <v>75</v>
      </c>
      <c r="C17" s="11">
        <v>-13000</v>
      </c>
      <c r="D17" s="9" t="s">
        <v>4</v>
      </c>
      <c r="E17" s="9" t="s">
        <v>88</v>
      </c>
      <c r="F17" s="9" t="s">
        <v>90</v>
      </c>
      <c r="G17" s="9"/>
      <c r="H17" s="9"/>
    </row>
    <row r="18" spans="1:8" x14ac:dyDescent="0.2">
      <c r="A18" s="8">
        <v>44531</v>
      </c>
      <c r="B18" s="61" t="s">
        <v>77</v>
      </c>
      <c r="C18" s="11">
        <v>4000</v>
      </c>
      <c r="D18" s="9" t="s">
        <v>4</v>
      </c>
      <c r="E18" s="9" t="s">
        <v>88</v>
      </c>
      <c r="F18" s="9" t="s">
        <v>90</v>
      </c>
      <c r="G18" s="9" t="s">
        <v>6</v>
      </c>
      <c r="H18" s="9"/>
    </row>
    <row r="19" spans="1:8" x14ac:dyDescent="0.2">
      <c r="A19" s="8">
        <v>44562</v>
      </c>
      <c r="B19" s="32" t="s">
        <v>75</v>
      </c>
      <c r="C19" s="11">
        <v>-13000</v>
      </c>
      <c r="D19" s="9" t="s">
        <v>4</v>
      </c>
      <c r="E19" s="9" t="s">
        <v>88</v>
      </c>
      <c r="F19" s="9" t="s">
        <v>90</v>
      </c>
      <c r="G19" s="9"/>
      <c r="H19" s="9"/>
    </row>
    <row r="20" spans="1:8" x14ac:dyDescent="0.2">
      <c r="A20" s="8">
        <v>44564</v>
      </c>
      <c r="B20" s="61" t="s">
        <v>77</v>
      </c>
      <c r="C20" s="11">
        <v>4000</v>
      </c>
      <c r="D20" s="9" t="s">
        <v>4</v>
      </c>
      <c r="E20" s="9" t="s">
        <v>88</v>
      </c>
      <c r="F20" s="9" t="s">
        <v>90</v>
      </c>
      <c r="G20" s="9" t="s">
        <v>6</v>
      </c>
      <c r="H20" s="9"/>
    </row>
    <row r="21" spans="1:8" x14ac:dyDescent="0.2">
      <c r="A21" s="8">
        <v>44575</v>
      </c>
      <c r="B21" s="56" t="s">
        <v>76</v>
      </c>
      <c r="C21" s="11">
        <v>18000</v>
      </c>
      <c r="D21" s="9" t="s">
        <v>4</v>
      </c>
      <c r="E21" s="9" t="s">
        <v>88</v>
      </c>
      <c r="F21" s="9" t="s">
        <v>90</v>
      </c>
      <c r="G21" s="9" t="s">
        <v>7</v>
      </c>
      <c r="H21" s="9"/>
    </row>
    <row r="22" spans="1:8" x14ac:dyDescent="0.2">
      <c r="A22" s="8">
        <v>44593</v>
      </c>
      <c r="B22" s="32" t="s">
        <v>75</v>
      </c>
      <c r="C22" s="11">
        <v>-13000</v>
      </c>
      <c r="D22" s="9" t="s">
        <v>4</v>
      </c>
      <c r="E22" s="9" t="s">
        <v>88</v>
      </c>
      <c r="F22" s="9" t="s">
        <v>90</v>
      </c>
      <c r="G22" s="9"/>
      <c r="H22" s="9"/>
    </row>
    <row r="23" spans="1:8" x14ac:dyDescent="0.2">
      <c r="A23" s="8">
        <v>44596</v>
      </c>
      <c r="B23" s="56" t="s">
        <v>77</v>
      </c>
      <c r="C23" s="11">
        <v>4000</v>
      </c>
      <c r="D23" s="9" t="s">
        <v>4</v>
      </c>
      <c r="E23" s="9" t="s">
        <v>88</v>
      </c>
      <c r="F23" s="9" t="s">
        <v>90</v>
      </c>
      <c r="G23" s="9" t="s">
        <v>6</v>
      </c>
      <c r="H23" s="9"/>
    </row>
    <row r="24" spans="1:8" x14ac:dyDescent="0.2">
      <c r="A24" s="8">
        <v>44599</v>
      </c>
      <c r="B24" s="56" t="s">
        <v>76</v>
      </c>
      <c r="C24" s="11">
        <v>9000</v>
      </c>
      <c r="D24" s="9" t="s">
        <v>4</v>
      </c>
      <c r="E24" s="9" t="s">
        <v>88</v>
      </c>
      <c r="F24" s="9" t="s">
        <v>90</v>
      </c>
      <c r="G24" s="9" t="s">
        <v>6</v>
      </c>
      <c r="H24" s="9"/>
    </row>
    <row r="25" spans="1:8" x14ac:dyDescent="0.2">
      <c r="A25" s="8">
        <v>44621</v>
      </c>
      <c r="B25" s="9" t="s">
        <v>75</v>
      </c>
      <c r="C25" s="11">
        <v>-13000</v>
      </c>
      <c r="D25" s="9" t="s">
        <v>4</v>
      </c>
      <c r="E25" s="9" t="s">
        <v>88</v>
      </c>
      <c r="F25" s="9" t="s">
        <v>90</v>
      </c>
      <c r="G25" s="9"/>
      <c r="H25" s="9"/>
    </row>
    <row r="26" spans="1:8" x14ac:dyDescent="0.2">
      <c r="A26" s="8">
        <v>44627</v>
      </c>
      <c r="B26" s="61" t="s">
        <v>77</v>
      </c>
      <c r="C26" s="11">
        <v>4000</v>
      </c>
      <c r="D26" s="9" t="s">
        <v>4</v>
      </c>
      <c r="E26" s="9" t="s">
        <v>88</v>
      </c>
      <c r="F26" s="9" t="s">
        <v>90</v>
      </c>
      <c r="G26" s="9" t="s">
        <v>6</v>
      </c>
      <c r="H26" s="9"/>
    </row>
    <row r="27" spans="1:8" x14ac:dyDescent="0.2">
      <c r="A27" s="8">
        <v>44637</v>
      </c>
      <c r="B27" s="56" t="s">
        <v>76</v>
      </c>
      <c r="C27" s="11">
        <v>9000</v>
      </c>
      <c r="D27" s="9" t="s">
        <v>4</v>
      </c>
      <c r="E27" s="9" t="s">
        <v>88</v>
      </c>
      <c r="F27" s="9" t="s">
        <v>90</v>
      </c>
      <c r="G27" s="9" t="s">
        <v>6</v>
      </c>
      <c r="H27" s="9"/>
    </row>
    <row r="28" spans="1:8" x14ac:dyDescent="0.2">
      <c r="A28" s="8">
        <v>44652</v>
      </c>
      <c r="B28" s="32" t="s">
        <v>75</v>
      </c>
      <c r="C28" s="11">
        <v>-13000</v>
      </c>
      <c r="D28" s="9" t="s">
        <v>4</v>
      </c>
      <c r="E28" s="9" t="s">
        <v>88</v>
      </c>
      <c r="F28" s="9" t="s">
        <v>90</v>
      </c>
      <c r="G28" s="9"/>
      <c r="H28" s="9"/>
    </row>
    <row r="29" spans="1:8" x14ac:dyDescent="0.2">
      <c r="A29" s="8">
        <v>44655</v>
      </c>
      <c r="B29" s="61" t="s">
        <v>77</v>
      </c>
      <c r="C29" s="11">
        <v>4000</v>
      </c>
      <c r="D29" s="9" t="s">
        <v>4</v>
      </c>
      <c r="E29" s="9" t="s">
        <v>88</v>
      </c>
      <c r="F29" s="9" t="s">
        <v>90</v>
      </c>
      <c r="G29" s="9" t="s">
        <v>6</v>
      </c>
      <c r="H29" s="32"/>
    </row>
    <row r="30" spans="1:8" x14ac:dyDescent="0.2">
      <c r="A30" s="8">
        <v>44659</v>
      </c>
      <c r="B30" s="56" t="s">
        <v>76</v>
      </c>
      <c r="C30" s="11">
        <v>9000</v>
      </c>
      <c r="D30" s="9" t="s">
        <v>4</v>
      </c>
      <c r="E30" s="9" t="s">
        <v>88</v>
      </c>
      <c r="F30" s="9" t="s">
        <v>90</v>
      </c>
      <c r="G30" s="9" t="s">
        <v>6</v>
      </c>
      <c r="H30" s="9"/>
    </row>
    <row r="31" spans="1:8" x14ac:dyDescent="0.2">
      <c r="A31" s="8">
        <v>44682</v>
      </c>
      <c r="B31" s="32" t="s">
        <v>75</v>
      </c>
      <c r="C31" s="11">
        <v>-13000</v>
      </c>
      <c r="D31" s="9" t="s">
        <v>4</v>
      </c>
      <c r="E31" s="9" t="s">
        <v>88</v>
      </c>
      <c r="F31" s="9" t="s">
        <v>90</v>
      </c>
      <c r="G31" s="9"/>
      <c r="H31" s="9"/>
    </row>
    <row r="32" spans="1:8" x14ac:dyDescent="0.2">
      <c r="A32" s="8">
        <v>44690</v>
      </c>
      <c r="B32" s="56" t="s">
        <v>76</v>
      </c>
      <c r="C32" s="11">
        <v>4000</v>
      </c>
      <c r="D32" s="9" t="s">
        <v>4</v>
      </c>
      <c r="E32" s="9" t="s">
        <v>88</v>
      </c>
      <c r="F32" s="9" t="s">
        <v>90</v>
      </c>
      <c r="G32" s="9" t="s">
        <v>6</v>
      </c>
      <c r="H32" s="9"/>
    </row>
    <row r="33" spans="1:8" x14ac:dyDescent="0.2">
      <c r="A33" s="8">
        <v>44692</v>
      </c>
      <c r="B33" s="56" t="s">
        <v>76</v>
      </c>
      <c r="C33" s="11">
        <v>9000</v>
      </c>
      <c r="D33" s="9" t="s">
        <v>4</v>
      </c>
      <c r="E33" s="9" t="s">
        <v>88</v>
      </c>
      <c r="F33" s="9" t="s">
        <v>90</v>
      </c>
      <c r="G33" s="9" t="s">
        <v>6</v>
      </c>
      <c r="H33" s="9"/>
    </row>
    <row r="34" spans="1:8" x14ac:dyDescent="0.2">
      <c r="A34" s="8">
        <v>44713</v>
      </c>
      <c r="B34" s="9" t="s">
        <v>75</v>
      </c>
      <c r="C34" s="11">
        <v>-13000</v>
      </c>
      <c r="D34" s="9" t="s">
        <v>4</v>
      </c>
      <c r="E34" s="9" t="s">
        <v>88</v>
      </c>
      <c r="F34" s="9" t="s">
        <v>90</v>
      </c>
      <c r="G34" s="9"/>
      <c r="H34" s="9"/>
    </row>
    <row r="35" spans="1:8" x14ac:dyDescent="0.2">
      <c r="A35" s="8">
        <v>44719</v>
      </c>
      <c r="B35" s="56" t="s">
        <v>77</v>
      </c>
      <c r="C35" s="11">
        <v>4000</v>
      </c>
      <c r="D35" s="9" t="s">
        <v>4</v>
      </c>
      <c r="E35" s="9" t="s">
        <v>88</v>
      </c>
      <c r="F35" s="9" t="s">
        <v>90</v>
      </c>
      <c r="G35" s="9" t="s">
        <v>6</v>
      </c>
      <c r="H35" s="9"/>
    </row>
    <row r="36" spans="1:8" x14ac:dyDescent="0.2">
      <c r="A36" s="8">
        <v>44722</v>
      </c>
      <c r="B36" s="56" t="s">
        <v>76</v>
      </c>
      <c r="C36" s="11">
        <v>9000</v>
      </c>
      <c r="D36" s="9" t="s">
        <v>4</v>
      </c>
      <c r="E36" s="9" t="s">
        <v>88</v>
      </c>
      <c r="F36" s="9" t="s">
        <v>90</v>
      </c>
      <c r="G36" s="9" t="s">
        <v>6</v>
      </c>
      <c r="H36" s="9"/>
    </row>
    <row r="37" spans="1:8" x14ac:dyDescent="0.2">
      <c r="A37" s="8">
        <v>44743</v>
      </c>
      <c r="B37" s="32" t="s">
        <v>75</v>
      </c>
      <c r="C37" s="11">
        <v>-13000</v>
      </c>
      <c r="D37" s="9" t="s">
        <v>4</v>
      </c>
      <c r="E37" s="9" t="s">
        <v>88</v>
      </c>
      <c r="F37" s="9" t="s">
        <v>90</v>
      </c>
      <c r="G37" s="9"/>
      <c r="H37" s="9"/>
    </row>
    <row r="38" spans="1:8" x14ac:dyDescent="0.2">
      <c r="A38" s="8">
        <v>44755</v>
      </c>
      <c r="B38" s="56" t="s">
        <v>77</v>
      </c>
      <c r="C38" s="11">
        <v>4000</v>
      </c>
      <c r="D38" s="9" t="s">
        <v>4</v>
      </c>
      <c r="E38" s="9" t="s">
        <v>88</v>
      </c>
      <c r="F38" s="9" t="s">
        <v>90</v>
      </c>
      <c r="G38" s="9" t="s">
        <v>6</v>
      </c>
      <c r="H38" s="9"/>
    </row>
    <row r="39" spans="1:8" x14ac:dyDescent="0.2">
      <c r="A39" s="8">
        <v>44755</v>
      </c>
      <c r="B39" s="56" t="s">
        <v>76</v>
      </c>
      <c r="C39" s="11">
        <v>9000</v>
      </c>
      <c r="D39" s="9" t="s">
        <v>4</v>
      </c>
      <c r="E39" s="9" t="s">
        <v>88</v>
      </c>
      <c r="F39" s="9" t="s">
        <v>90</v>
      </c>
      <c r="G39" s="9" t="s">
        <v>6</v>
      </c>
      <c r="H39" s="9"/>
    </row>
    <row r="40" spans="1:8" x14ac:dyDescent="0.2">
      <c r="A40" s="8">
        <v>44774</v>
      </c>
      <c r="B40" s="32" t="s">
        <v>75</v>
      </c>
      <c r="C40" s="11">
        <v>-13000</v>
      </c>
      <c r="D40" s="9" t="s">
        <v>4</v>
      </c>
      <c r="E40" s="9" t="s">
        <v>88</v>
      </c>
      <c r="F40" s="9" t="s">
        <v>90</v>
      </c>
      <c r="G40" s="9"/>
      <c r="H40" s="9"/>
    </row>
    <row r="41" spans="1:8" x14ac:dyDescent="0.2">
      <c r="A41" s="8">
        <v>44781</v>
      </c>
      <c r="B41" s="56" t="s">
        <v>77</v>
      </c>
      <c r="C41" s="11">
        <v>4000</v>
      </c>
      <c r="D41" s="9" t="s">
        <v>4</v>
      </c>
      <c r="E41" s="9" t="s">
        <v>88</v>
      </c>
      <c r="F41" s="9" t="s">
        <v>90</v>
      </c>
      <c r="G41" s="9" t="s">
        <v>6</v>
      </c>
      <c r="H41" s="9"/>
    </row>
    <row r="42" spans="1:8" x14ac:dyDescent="0.2">
      <c r="A42" s="8">
        <v>44788</v>
      </c>
      <c r="B42" s="56" t="s">
        <v>76</v>
      </c>
      <c r="C42" s="11">
        <v>9000</v>
      </c>
      <c r="D42" s="9" t="s">
        <v>4</v>
      </c>
      <c r="E42" s="9" t="s">
        <v>88</v>
      </c>
      <c r="F42" s="9" t="s">
        <v>90</v>
      </c>
      <c r="G42" s="9" t="s">
        <v>6</v>
      </c>
      <c r="H42" s="9"/>
    </row>
    <row r="43" spans="1:8" x14ac:dyDescent="0.2">
      <c r="A43" s="8">
        <v>44805</v>
      </c>
      <c r="B43" s="9" t="s">
        <v>75</v>
      </c>
      <c r="C43" s="11">
        <v>-13000</v>
      </c>
      <c r="D43" s="9" t="s">
        <v>4</v>
      </c>
      <c r="E43" s="9" t="s">
        <v>88</v>
      </c>
      <c r="F43" s="9" t="s">
        <v>90</v>
      </c>
      <c r="G43" s="9"/>
      <c r="H43" s="9"/>
    </row>
    <row r="44" spans="1:8" x14ac:dyDescent="0.2">
      <c r="A44" s="8">
        <v>44813</v>
      </c>
      <c r="B44" s="56" t="s">
        <v>77</v>
      </c>
      <c r="C44" s="11">
        <v>4000</v>
      </c>
      <c r="D44" s="9" t="s">
        <v>4</v>
      </c>
      <c r="E44" s="9" t="s">
        <v>88</v>
      </c>
      <c r="F44" s="9" t="s">
        <v>90</v>
      </c>
      <c r="G44" s="9" t="s">
        <v>6</v>
      </c>
      <c r="H44" s="9"/>
    </row>
    <row r="45" spans="1:8" ht="17" thickBot="1" x14ac:dyDescent="0.25">
      <c r="A45" s="8">
        <v>44816</v>
      </c>
      <c r="B45" s="56" t="s">
        <v>76</v>
      </c>
      <c r="C45" s="11">
        <v>9000</v>
      </c>
      <c r="D45" s="9" t="s">
        <v>4</v>
      </c>
      <c r="E45" s="9" t="s">
        <v>88</v>
      </c>
      <c r="F45" s="9" t="s">
        <v>90</v>
      </c>
      <c r="G45" s="9" t="s">
        <v>6</v>
      </c>
      <c r="H45" s="58"/>
    </row>
    <row r="46" spans="1:8" s="1" customFormat="1" ht="17" thickTop="1" x14ac:dyDescent="0.2">
      <c r="A46" s="8">
        <v>44835</v>
      </c>
      <c r="B46" s="32" t="s">
        <v>75</v>
      </c>
      <c r="C46" s="11">
        <v>-24000</v>
      </c>
      <c r="D46" s="9" t="s">
        <v>4</v>
      </c>
      <c r="E46" s="9" t="s">
        <v>88</v>
      </c>
      <c r="F46" s="9" t="s">
        <v>90</v>
      </c>
      <c r="G46" s="9"/>
      <c r="H46" s="32"/>
    </row>
    <row r="47" spans="1:8" x14ac:dyDescent="0.2">
      <c r="A47" s="8">
        <v>44845</v>
      </c>
      <c r="B47" s="56" t="s">
        <v>77</v>
      </c>
      <c r="C47" s="11">
        <v>4400</v>
      </c>
      <c r="D47" s="9" t="s">
        <v>4</v>
      </c>
      <c r="E47" s="9" t="s">
        <v>88</v>
      </c>
      <c r="F47" s="9" t="s">
        <v>90</v>
      </c>
      <c r="G47" s="9" t="s">
        <v>6</v>
      </c>
      <c r="H47" s="9" t="s">
        <v>92</v>
      </c>
    </row>
    <row r="48" spans="1:8" x14ac:dyDescent="0.2">
      <c r="A48" s="8">
        <v>44855</v>
      </c>
      <c r="B48" s="56" t="s">
        <v>76</v>
      </c>
      <c r="C48" s="11">
        <v>19600</v>
      </c>
      <c r="D48" s="9" t="s">
        <v>4</v>
      </c>
      <c r="E48" s="9" t="s">
        <v>88</v>
      </c>
      <c r="F48" s="9" t="s">
        <v>90</v>
      </c>
      <c r="G48" s="32" t="s">
        <v>21</v>
      </c>
      <c r="H48" s="32"/>
    </row>
    <row r="49" spans="1:8" x14ac:dyDescent="0.2">
      <c r="A49" s="8">
        <v>44866</v>
      </c>
      <c r="B49" s="32" t="s">
        <v>75</v>
      </c>
      <c r="C49" s="11">
        <v>-24000</v>
      </c>
      <c r="D49" s="9" t="s">
        <v>4</v>
      </c>
      <c r="E49" s="9" t="s">
        <v>88</v>
      </c>
      <c r="F49" s="9" t="s">
        <v>90</v>
      </c>
      <c r="G49" s="9"/>
      <c r="H49" s="32"/>
    </row>
    <row r="50" spans="1:8" x14ac:dyDescent="0.2">
      <c r="A50" s="8">
        <v>44879</v>
      </c>
      <c r="B50" s="56" t="s">
        <v>77</v>
      </c>
      <c r="C50" s="11">
        <v>4400</v>
      </c>
      <c r="D50" s="9" t="s">
        <v>4</v>
      </c>
      <c r="E50" s="9" t="s">
        <v>88</v>
      </c>
      <c r="F50" s="9" t="s">
        <v>90</v>
      </c>
      <c r="G50" s="9" t="s">
        <v>6</v>
      </c>
      <c r="H50" s="9"/>
    </row>
    <row r="51" spans="1:8" x14ac:dyDescent="0.2">
      <c r="A51" s="8">
        <v>44887</v>
      </c>
      <c r="B51" s="56" t="s">
        <v>76</v>
      </c>
      <c r="C51" s="11">
        <v>19600</v>
      </c>
      <c r="D51" s="9" t="s">
        <v>4</v>
      </c>
      <c r="E51" s="9" t="s">
        <v>88</v>
      </c>
      <c r="F51" s="9" t="s">
        <v>90</v>
      </c>
      <c r="G51" s="9" t="s">
        <v>6</v>
      </c>
      <c r="H51" s="32"/>
    </row>
    <row r="52" spans="1:8" x14ac:dyDescent="0.2">
      <c r="A52" s="8">
        <v>44896</v>
      </c>
      <c r="B52" s="32" t="s">
        <v>75</v>
      </c>
      <c r="C52" s="11">
        <v>-24000</v>
      </c>
      <c r="D52" s="9" t="s">
        <v>4</v>
      </c>
      <c r="E52" s="9" t="s">
        <v>88</v>
      </c>
      <c r="F52" s="9" t="s">
        <v>90</v>
      </c>
      <c r="G52" s="9"/>
      <c r="H52" s="32"/>
    </row>
    <row r="53" spans="1:8" x14ac:dyDescent="0.2">
      <c r="A53" s="8">
        <v>44908</v>
      </c>
      <c r="B53" s="56" t="s">
        <v>77</v>
      </c>
      <c r="C53" s="11">
        <v>4400</v>
      </c>
      <c r="D53" s="9" t="s">
        <v>4</v>
      </c>
      <c r="E53" s="9" t="s">
        <v>88</v>
      </c>
      <c r="F53" s="9" t="s">
        <v>90</v>
      </c>
      <c r="G53" s="9" t="s">
        <v>6</v>
      </c>
      <c r="H53" s="9"/>
    </row>
    <row r="54" spans="1:8" x14ac:dyDescent="0.2">
      <c r="A54" s="8">
        <v>44910</v>
      </c>
      <c r="B54" s="56" t="s">
        <v>76</v>
      </c>
      <c r="C54" s="11">
        <v>19600</v>
      </c>
      <c r="D54" s="9" t="s">
        <v>4</v>
      </c>
      <c r="E54" s="9" t="s">
        <v>88</v>
      </c>
      <c r="F54" s="9" t="s">
        <v>90</v>
      </c>
      <c r="G54" s="9" t="s">
        <v>6</v>
      </c>
      <c r="H54" s="9"/>
    </row>
    <row r="55" spans="1:8" x14ac:dyDescent="0.2">
      <c r="A55" s="8">
        <v>44927</v>
      </c>
      <c r="B55" s="32" t="s">
        <v>75</v>
      </c>
      <c r="C55" s="11">
        <v>-24000</v>
      </c>
      <c r="D55" s="9" t="s">
        <v>4</v>
      </c>
      <c r="E55" s="9" t="s">
        <v>88</v>
      </c>
      <c r="F55" s="9" t="s">
        <v>90</v>
      </c>
      <c r="G55" s="9"/>
      <c r="H55" s="32"/>
    </row>
    <row r="56" spans="1:8" x14ac:dyDescent="0.2">
      <c r="A56" s="8">
        <v>44939</v>
      </c>
      <c r="B56" s="56" t="s">
        <v>77</v>
      </c>
      <c r="C56" s="11">
        <v>4400</v>
      </c>
      <c r="D56" s="9" t="s">
        <v>4</v>
      </c>
      <c r="E56" s="9" t="s">
        <v>88</v>
      </c>
      <c r="F56" s="9" t="s">
        <v>90</v>
      </c>
      <c r="G56" s="9" t="s">
        <v>6</v>
      </c>
      <c r="H56" s="9"/>
    </row>
    <row r="57" spans="1:8" x14ac:dyDescent="0.2">
      <c r="A57" s="8">
        <v>44944</v>
      </c>
      <c r="B57" s="56" t="s">
        <v>76</v>
      </c>
      <c r="C57" s="11">
        <v>19600</v>
      </c>
      <c r="D57" s="9" t="s">
        <v>4</v>
      </c>
      <c r="E57" s="9" t="s">
        <v>88</v>
      </c>
      <c r="F57" s="9" t="s">
        <v>90</v>
      </c>
      <c r="G57" s="9" t="s">
        <v>6</v>
      </c>
      <c r="H57" s="9"/>
    </row>
    <row r="58" spans="1:8" x14ac:dyDescent="0.2">
      <c r="A58" s="8">
        <v>44958</v>
      </c>
      <c r="B58" s="32" t="s">
        <v>75</v>
      </c>
      <c r="C58" s="11">
        <v>-24000</v>
      </c>
      <c r="D58" s="9" t="s">
        <v>4</v>
      </c>
      <c r="E58" s="9" t="s">
        <v>88</v>
      </c>
      <c r="F58" s="9" t="s">
        <v>90</v>
      </c>
      <c r="G58" s="9"/>
      <c r="H58" s="32"/>
    </row>
    <row r="59" spans="1:8" x14ac:dyDescent="0.2">
      <c r="A59" s="8">
        <v>44972</v>
      </c>
      <c r="B59" s="56" t="s">
        <v>77</v>
      </c>
      <c r="C59" s="11">
        <v>4400</v>
      </c>
      <c r="D59" s="9" t="s">
        <v>4</v>
      </c>
      <c r="E59" s="9" t="s">
        <v>88</v>
      </c>
      <c r="F59" s="9" t="s">
        <v>90</v>
      </c>
      <c r="G59" s="9" t="s">
        <v>6</v>
      </c>
      <c r="H59" s="9"/>
    </row>
    <row r="60" spans="1:8" x14ac:dyDescent="0.2">
      <c r="A60" s="8">
        <v>44978</v>
      </c>
      <c r="B60" s="56" t="s">
        <v>76</v>
      </c>
      <c r="C60" s="11">
        <v>19600</v>
      </c>
      <c r="D60" s="9" t="s">
        <v>4</v>
      </c>
      <c r="E60" s="9" t="s">
        <v>88</v>
      </c>
      <c r="F60" s="9" t="s">
        <v>90</v>
      </c>
      <c r="G60" s="9" t="s">
        <v>6</v>
      </c>
      <c r="H60" s="9"/>
    </row>
    <row r="61" spans="1:8" x14ac:dyDescent="0.2">
      <c r="A61" s="8">
        <v>44986</v>
      </c>
      <c r="B61" s="32" t="s">
        <v>75</v>
      </c>
      <c r="C61" s="11">
        <v>-24000</v>
      </c>
      <c r="D61" s="9" t="s">
        <v>4</v>
      </c>
      <c r="E61" s="9" t="s">
        <v>88</v>
      </c>
      <c r="F61" s="9" t="s">
        <v>90</v>
      </c>
      <c r="G61" s="9"/>
      <c r="H61" s="32"/>
    </row>
    <row r="62" spans="1:8" x14ac:dyDescent="0.2">
      <c r="A62" s="8">
        <v>44998</v>
      </c>
      <c r="B62" s="56" t="s">
        <v>77</v>
      </c>
      <c r="C62" s="11">
        <v>4400</v>
      </c>
      <c r="D62" s="9" t="s">
        <v>4</v>
      </c>
      <c r="E62" s="9" t="s">
        <v>88</v>
      </c>
      <c r="F62" s="9" t="s">
        <v>90</v>
      </c>
      <c r="G62" s="9" t="s">
        <v>6</v>
      </c>
      <c r="H62" s="9"/>
    </row>
    <row r="63" spans="1:8" x14ac:dyDescent="0.2">
      <c r="A63" s="8">
        <v>45005</v>
      </c>
      <c r="B63" s="56" t="s">
        <v>76</v>
      </c>
      <c r="C63" s="11">
        <v>19600</v>
      </c>
      <c r="D63" s="9" t="s">
        <v>4</v>
      </c>
      <c r="E63" s="9" t="s">
        <v>88</v>
      </c>
      <c r="F63" s="9" t="s">
        <v>90</v>
      </c>
      <c r="G63" s="9" t="s">
        <v>6</v>
      </c>
      <c r="H63" s="9"/>
    </row>
    <row r="64" spans="1:8" x14ac:dyDescent="0.2">
      <c r="A64" s="8">
        <v>45017</v>
      </c>
      <c r="B64" s="32" t="s">
        <v>75</v>
      </c>
      <c r="C64" s="11">
        <v>-24000</v>
      </c>
      <c r="D64" s="9" t="s">
        <v>4</v>
      </c>
      <c r="E64" s="9" t="s">
        <v>88</v>
      </c>
      <c r="F64" s="9" t="s">
        <v>90</v>
      </c>
      <c r="G64" s="9"/>
      <c r="H64" s="32"/>
    </row>
    <row r="65" spans="1:8" x14ac:dyDescent="0.2">
      <c r="A65" s="8">
        <v>45030</v>
      </c>
      <c r="B65" s="56" t="s">
        <v>77</v>
      </c>
      <c r="C65" s="11">
        <v>4400</v>
      </c>
      <c r="D65" s="9" t="s">
        <v>4</v>
      </c>
      <c r="E65" s="9" t="s">
        <v>88</v>
      </c>
      <c r="F65" s="9" t="s">
        <v>90</v>
      </c>
      <c r="G65" s="9" t="s">
        <v>6</v>
      </c>
      <c r="H65" s="9"/>
    </row>
    <row r="66" spans="1:8" x14ac:dyDescent="0.2">
      <c r="A66" s="8">
        <v>45035</v>
      </c>
      <c r="B66" s="56" t="s">
        <v>76</v>
      </c>
      <c r="C66" s="11">
        <v>19600</v>
      </c>
      <c r="D66" s="9" t="s">
        <v>4</v>
      </c>
      <c r="E66" s="9" t="s">
        <v>88</v>
      </c>
      <c r="F66" s="9" t="s">
        <v>90</v>
      </c>
      <c r="G66" s="9" t="s">
        <v>6</v>
      </c>
      <c r="H66" s="9"/>
    </row>
    <row r="67" spans="1:8" x14ac:dyDescent="0.2">
      <c r="A67" s="8">
        <v>45047</v>
      </c>
      <c r="B67" s="32" t="s">
        <v>75</v>
      </c>
      <c r="C67" s="11">
        <v>-24000</v>
      </c>
      <c r="D67" s="9" t="s">
        <v>4</v>
      </c>
      <c r="E67" s="9" t="s">
        <v>88</v>
      </c>
      <c r="F67" s="9" t="s">
        <v>90</v>
      </c>
      <c r="G67" s="9"/>
      <c r="H67" s="32"/>
    </row>
    <row r="68" spans="1:8" x14ac:dyDescent="0.2">
      <c r="A68" s="8">
        <v>45061</v>
      </c>
      <c r="B68" s="56" t="s">
        <v>77</v>
      </c>
      <c r="C68" s="11">
        <v>4400</v>
      </c>
      <c r="D68" s="9" t="s">
        <v>4</v>
      </c>
      <c r="E68" s="9" t="s">
        <v>88</v>
      </c>
      <c r="F68" s="9" t="s">
        <v>90</v>
      </c>
      <c r="G68" s="9" t="s">
        <v>6</v>
      </c>
      <c r="H68" s="9"/>
    </row>
    <row r="69" spans="1:8" x14ac:dyDescent="0.2">
      <c r="A69" s="8">
        <v>45062</v>
      </c>
      <c r="B69" s="56" t="s">
        <v>76</v>
      </c>
      <c r="C69" s="11">
        <v>19600</v>
      </c>
      <c r="D69" s="9" t="s">
        <v>4</v>
      </c>
      <c r="E69" s="9" t="s">
        <v>88</v>
      </c>
      <c r="F69" s="9" t="s">
        <v>90</v>
      </c>
      <c r="G69" s="9" t="s">
        <v>6</v>
      </c>
      <c r="H69" s="9"/>
    </row>
    <row r="70" spans="1:8" x14ac:dyDescent="0.2">
      <c r="A70" s="8">
        <v>45078</v>
      </c>
      <c r="B70" s="32" t="s">
        <v>75</v>
      </c>
      <c r="C70" s="11">
        <v>-24000</v>
      </c>
      <c r="D70" s="9" t="s">
        <v>4</v>
      </c>
      <c r="E70" s="9" t="s">
        <v>88</v>
      </c>
      <c r="F70" s="9" t="s">
        <v>90</v>
      </c>
      <c r="G70" s="9"/>
      <c r="H70" s="32"/>
    </row>
    <row r="71" spans="1:8" x14ac:dyDescent="0.2">
      <c r="A71" s="8">
        <v>45089</v>
      </c>
      <c r="B71" s="56" t="s">
        <v>77</v>
      </c>
      <c r="C71" s="11">
        <v>4400</v>
      </c>
      <c r="D71" s="9" t="s">
        <v>4</v>
      </c>
      <c r="E71" s="9" t="s">
        <v>88</v>
      </c>
      <c r="F71" s="9" t="s">
        <v>90</v>
      </c>
      <c r="G71" s="9" t="s">
        <v>6</v>
      </c>
      <c r="H71" s="32"/>
    </row>
    <row r="72" spans="1:8" x14ac:dyDescent="0.2">
      <c r="A72" s="8">
        <v>45093</v>
      </c>
      <c r="B72" s="56" t="s">
        <v>76</v>
      </c>
      <c r="C72" s="11">
        <v>19600</v>
      </c>
      <c r="D72" s="9" t="s">
        <v>4</v>
      </c>
      <c r="E72" s="9" t="s">
        <v>88</v>
      </c>
      <c r="F72" s="9" t="s">
        <v>90</v>
      </c>
      <c r="G72" s="9" t="s">
        <v>6</v>
      </c>
      <c r="H72" s="9"/>
    </row>
    <row r="73" spans="1:8" x14ac:dyDescent="0.2">
      <c r="A73" s="8">
        <v>45108</v>
      </c>
      <c r="B73" s="32" t="s">
        <v>75</v>
      </c>
      <c r="C73" s="11">
        <v>-24000</v>
      </c>
      <c r="D73" s="9" t="s">
        <v>4</v>
      </c>
      <c r="E73" s="9" t="s">
        <v>88</v>
      </c>
      <c r="F73" s="9" t="s">
        <v>90</v>
      </c>
      <c r="G73" s="9"/>
      <c r="H73" s="32"/>
    </row>
    <row r="74" spans="1:8" x14ac:dyDescent="0.2">
      <c r="A74" s="8">
        <v>45124</v>
      </c>
      <c r="B74" s="56" t="s">
        <v>77</v>
      </c>
      <c r="C74" s="11">
        <v>4400</v>
      </c>
      <c r="D74" s="9" t="s">
        <v>4</v>
      </c>
      <c r="E74" s="9" t="s">
        <v>88</v>
      </c>
      <c r="F74" s="9" t="s">
        <v>90</v>
      </c>
      <c r="G74" s="9" t="s">
        <v>6</v>
      </c>
      <c r="H74" s="9"/>
    </row>
    <row r="75" spans="1:8" x14ac:dyDescent="0.2">
      <c r="A75" s="8">
        <v>45127</v>
      </c>
      <c r="B75" s="56" t="s">
        <v>76</v>
      </c>
      <c r="C75" s="11">
        <v>19600</v>
      </c>
      <c r="D75" s="9" t="s">
        <v>4</v>
      </c>
      <c r="E75" s="9" t="s">
        <v>88</v>
      </c>
      <c r="F75" s="9" t="s">
        <v>90</v>
      </c>
      <c r="G75" s="9" t="s">
        <v>6</v>
      </c>
      <c r="H75" s="9"/>
    </row>
    <row r="76" spans="1:8" x14ac:dyDescent="0.2">
      <c r="A76" s="8">
        <v>45139</v>
      </c>
      <c r="B76" s="32" t="s">
        <v>75</v>
      </c>
      <c r="C76" s="11">
        <v>-24000</v>
      </c>
      <c r="D76" s="9" t="s">
        <v>4</v>
      </c>
      <c r="E76" s="9" t="s">
        <v>88</v>
      </c>
      <c r="F76" s="9" t="s">
        <v>90</v>
      </c>
      <c r="G76" s="9"/>
      <c r="H76" s="32"/>
    </row>
    <row r="77" spans="1:8" x14ac:dyDescent="0.2">
      <c r="A77" s="8">
        <v>45152</v>
      </c>
      <c r="B77" s="65" t="s">
        <v>77</v>
      </c>
      <c r="C77" s="11">
        <v>4400</v>
      </c>
      <c r="D77" s="9" t="s">
        <v>4</v>
      </c>
      <c r="E77" s="9" t="s">
        <v>88</v>
      </c>
      <c r="F77" s="9" t="s">
        <v>90</v>
      </c>
      <c r="G77" s="9" t="s">
        <v>6</v>
      </c>
      <c r="H77" s="9"/>
    </row>
    <row r="78" spans="1:8" x14ac:dyDescent="0.2">
      <c r="A78" s="8">
        <v>45154</v>
      </c>
      <c r="B78" s="65" t="s">
        <v>76</v>
      </c>
      <c r="C78" s="11">
        <v>19600</v>
      </c>
      <c r="D78" s="9" t="s">
        <v>4</v>
      </c>
      <c r="E78" s="9" t="s">
        <v>88</v>
      </c>
      <c r="F78" s="9" t="s">
        <v>90</v>
      </c>
      <c r="G78" s="9" t="s">
        <v>6</v>
      </c>
      <c r="H78" s="9"/>
    </row>
    <row r="79" spans="1:8" x14ac:dyDescent="0.2">
      <c r="A79" s="8">
        <v>45170</v>
      </c>
      <c r="B79" s="32" t="s">
        <v>75</v>
      </c>
      <c r="C79" s="11">
        <v>-24000</v>
      </c>
      <c r="D79" s="9" t="s">
        <v>4</v>
      </c>
      <c r="E79" s="9" t="s">
        <v>88</v>
      </c>
      <c r="F79" s="9" t="s">
        <v>90</v>
      </c>
      <c r="G79" s="9"/>
      <c r="H79" s="32"/>
    </row>
    <row r="80" spans="1:8" x14ac:dyDescent="0.2">
      <c r="A80" s="8">
        <v>45182</v>
      </c>
      <c r="B80" s="65" t="s">
        <v>77</v>
      </c>
      <c r="C80" s="11">
        <v>4400</v>
      </c>
      <c r="D80" s="9" t="s">
        <v>4</v>
      </c>
      <c r="E80" s="9" t="s">
        <v>88</v>
      </c>
      <c r="F80" s="9" t="s">
        <v>90</v>
      </c>
      <c r="G80" s="9" t="s">
        <v>6</v>
      </c>
      <c r="H80" s="9"/>
    </row>
    <row r="81" spans="1:8" ht="17" thickBot="1" x14ac:dyDescent="0.25">
      <c r="A81" s="8">
        <v>45184</v>
      </c>
      <c r="B81" s="66" t="s">
        <v>76</v>
      </c>
      <c r="C81" s="11">
        <v>19600</v>
      </c>
      <c r="D81" s="9" t="s">
        <v>4</v>
      </c>
      <c r="E81" s="9" t="s">
        <v>88</v>
      </c>
      <c r="F81" s="9" t="s">
        <v>90</v>
      </c>
      <c r="G81" s="9" t="s">
        <v>6</v>
      </c>
      <c r="H81" s="58"/>
    </row>
    <row r="82" spans="1:8" s="1" customFormat="1" ht="17" thickTop="1" x14ac:dyDescent="0.2">
      <c r="A82" s="8">
        <v>45200</v>
      </c>
      <c r="B82" s="32" t="s">
        <v>75</v>
      </c>
      <c r="C82" s="11">
        <v>-1400</v>
      </c>
      <c r="D82" s="9" t="s">
        <v>81</v>
      </c>
      <c r="E82" s="9" t="s">
        <v>88</v>
      </c>
      <c r="F82" s="9" t="s">
        <v>90</v>
      </c>
      <c r="G82" s="9"/>
      <c r="H82" s="32"/>
    </row>
    <row r="83" spans="1:8" x14ac:dyDescent="0.2">
      <c r="A83" s="8">
        <v>45218</v>
      </c>
      <c r="B83" s="65" t="s">
        <v>77</v>
      </c>
      <c r="C83" s="11">
        <v>163.47</v>
      </c>
      <c r="D83" s="9" t="s">
        <v>81</v>
      </c>
      <c r="E83" s="9" t="s">
        <v>88</v>
      </c>
      <c r="F83" s="9" t="s">
        <v>90</v>
      </c>
      <c r="G83" s="9" t="s">
        <v>6</v>
      </c>
      <c r="H83" s="9" t="s">
        <v>93</v>
      </c>
    </row>
    <row r="84" spans="1:8" x14ac:dyDescent="0.2">
      <c r="A84" s="8">
        <v>45218</v>
      </c>
      <c r="B84" s="65" t="s">
        <v>76</v>
      </c>
      <c r="C84" s="11">
        <v>1236.53</v>
      </c>
      <c r="D84" s="9" t="s">
        <v>81</v>
      </c>
      <c r="E84" s="9" t="s">
        <v>88</v>
      </c>
      <c r="F84" s="9" t="s">
        <v>90</v>
      </c>
      <c r="G84" s="32" t="s">
        <v>7</v>
      </c>
      <c r="H84" s="32" t="s">
        <v>93</v>
      </c>
    </row>
    <row r="85" spans="1:8" x14ac:dyDescent="0.2">
      <c r="A85" s="8">
        <v>44866</v>
      </c>
      <c r="B85" s="32" t="s">
        <v>75</v>
      </c>
      <c r="C85" s="11">
        <v>-1400</v>
      </c>
      <c r="D85" s="9" t="s">
        <v>81</v>
      </c>
      <c r="E85" s="9" t="s">
        <v>88</v>
      </c>
      <c r="F85" s="9" t="s">
        <v>90</v>
      </c>
      <c r="G85" s="9"/>
      <c r="H85" s="32"/>
    </row>
    <row r="86" spans="1:8" x14ac:dyDescent="0.2">
      <c r="A86" s="8">
        <v>45244</v>
      </c>
      <c r="B86" s="65" t="s">
        <v>77</v>
      </c>
      <c r="C86" s="11">
        <v>160</v>
      </c>
      <c r="D86" s="9" t="s">
        <v>81</v>
      </c>
      <c r="E86" s="9" t="s">
        <v>88</v>
      </c>
      <c r="F86" s="9" t="s">
        <v>90</v>
      </c>
      <c r="G86" s="9" t="s">
        <v>6</v>
      </c>
      <c r="H86" s="9"/>
    </row>
    <row r="87" spans="1:8" x14ac:dyDescent="0.2">
      <c r="A87" s="8">
        <v>45250</v>
      </c>
      <c r="B87" s="65" t="s">
        <v>76</v>
      </c>
      <c r="C87" s="11">
        <v>1240</v>
      </c>
      <c r="D87" s="9" t="s">
        <v>81</v>
      </c>
      <c r="E87" s="9" t="s">
        <v>88</v>
      </c>
      <c r="F87" s="9" t="s">
        <v>90</v>
      </c>
      <c r="G87" s="9" t="s">
        <v>7</v>
      </c>
      <c r="H87" s="32"/>
    </row>
    <row r="88" spans="1:8" x14ac:dyDescent="0.2">
      <c r="A88" s="8">
        <v>44896</v>
      </c>
      <c r="B88" s="32" t="s">
        <v>75</v>
      </c>
      <c r="C88" s="11">
        <v>-1400</v>
      </c>
      <c r="D88" s="9" t="s">
        <v>81</v>
      </c>
      <c r="E88" s="9" t="s">
        <v>88</v>
      </c>
      <c r="F88" s="9" t="s">
        <v>90</v>
      </c>
      <c r="G88" s="9"/>
      <c r="H88" s="32"/>
    </row>
    <row r="89" spans="1:8" x14ac:dyDescent="0.2">
      <c r="A89" s="8">
        <v>45277</v>
      </c>
      <c r="B89" s="65" t="s">
        <v>77</v>
      </c>
      <c r="C89" s="11">
        <v>158</v>
      </c>
      <c r="D89" s="9" t="s">
        <v>81</v>
      </c>
      <c r="E89" s="9" t="s">
        <v>88</v>
      </c>
      <c r="F89" s="9" t="s">
        <v>90</v>
      </c>
      <c r="G89" s="9" t="s">
        <v>6</v>
      </c>
      <c r="H89" s="9"/>
    </row>
    <row r="90" spans="1:8" x14ac:dyDescent="0.2">
      <c r="A90" s="8">
        <v>45278</v>
      </c>
      <c r="B90" s="65" t="s">
        <v>76</v>
      </c>
      <c r="C90" s="11">
        <v>1242</v>
      </c>
      <c r="D90" s="9" t="s">
        <v>81</v>
      </c>
      <c r="E90" s="9" t="s">
        <v>88</v>
      </c>
      <c r="F90" s="9" t="s">
        <v>90</v>
      </c>
      <c r="G90" s="32" t="s">
        <v>7</v>
      </c>
      <c r="H90" s="32"/>
    </row>
    <row r="91" spans="1:8" x14ac:dyDescent="0.2">
      <c r="A91" s="8">
        <v>45292</v>
      </c>
      <c r="B91" s="32" t="s">
        <v>75</v>
      </c>
      <c r="C91" s="11">
        <v>-1400</v>
      </c>
      <c r="D91" s="9" t="s">
        <v>81</v>
      </c>
      <c r="E91" s="9" t="s">
        <v>88</v>
      </c>
      <c r="F91" s="9" t="s">
        <v>90</v>
      </c>
      <c r="G91" s="9"/>
      <c r="H91" s="32"/>
    </row>
    <row r="92" spans="1:8" x14ac:dyDescent="0.2">
      <c r="A92" s="8">
        <v>45313</v>
      </c>
      <c r="B92" s="65" t="s">
        <v>77</v>
      </c>
      <c r="C92" s="11">
        <v>152</v>
      </c>
      <c r="D92" s="9" t="s">
        <v>81</v>
      </c>
      <c r="E92" s="9" t="s">
        <v>88</v>
      </c>
      <c r="F92" s="9" t="s">
        <v>90</v>
      </c>
      <c r="G92" s="9" t="s">
        <v>6</v>
      </c>
      <c r="H92" s="9"/>
    </row>
    <row r="93" spans="1:8" x14ac:dyDescent="0.2">
      <c r="A93" s="8">
        <v>45313</v>
      </c>
      <c r="B93" s="65" t="s">
        <v>76</v>
      </c>
      <c r="C93" s="11">
        <v>1248</v>
      </c>
      <c r="D93" s="9" t="s">
        <v>81</v>
      </c>
      <c r="E93" s="9" t="s">
        <v>88</v>
      </c>
      <c r="F93" s="9" t="s">
        <v>90</v>
      </c>
      <c r="G93" s="32" t="s">
        <v>7</v>
      </c>
      <c r="H93" s="32"/>
    </row>
    <row r="94" spans="1:8" x14ac:dyDescent="0.2">
      <c r="A94" s="8">
        <v>45323</v>
      </c>
      <c r="B94" s="32" t="s">
        <v>75</v>
      </c>
      <c r="C94" s="11">
        <v>-1400</v>
      </c>
      <c r="D94" s="9" t="s">
        <v>81</v>
      </c>
      <c r="E94" s="9" t="s">
        <v>88</v>
      </c>
      <c r="F94" s="9" t="s">
        <v>90</v>
      </c>
      <c r="G94" s="9"/>
      <c r="H94" s="32"/>
    </row>
    <row r="95" spans="1:8" x14ac:dyDescent="0.2">
      <c r="A95" s="8">
        <v>45345</v>
      </c>
      <c r="B95" s="65" t="s">
        <v>77</v>
      </c>
      <c r="C95" s="11">
        <v>148</v>
      </c>
      <c r="D95" s="9" t="s">
        <v>81</v>
      </c>
      <c r="E95" s="9" t="s">
        <v>88</v>
      </c>
      <c r="F95" s="9" t="s">
        <v>90</v>
      </c>
      <c r="G95" s="9" t="s">
        <v>6</v>
      </c>
      <c r="H95" s="9"/>
    </row>
    <row r="96" spans="1:8" x14ac:dyDescent="0.2">
      <c r="A96" s="8">
        <v>45348</v>
      </c>
      <c r="B96" s="65" t="s">
        <v>76</v>
      </c>
      <c r="C96" s="11">
        <v>1252</v>
      </c>
      <c r="D96" s="9" t="s">
        <v>81</v>
      </c>
      <c r="E96" s="9" t="s">
        <v>88</v>
      </c>
      <c r="F96" s="9" t="s">
        <v>90</v>
      </c>
      <c r="G96" s="9" t="s">
        <v>7</v>
      </c>
      <c r="H96" s="9"/>
    </row>
    <row r="97" spans="1:8" x14ac:dyDescent="0.2">
      <c r="A97" s="8">
        <v>44986</v>
      </c>
      <c r="B97" s="32" t="s">
        <v>75</v>
      </c>
      <c r="C97" s="11">
        <v>-1400</v>
      </c>
      <c r="D97" s="9" t="s">
        <v>81</v>
      </c>
      <c r="E97" s="9" t="s">
        <v>88</v>
      </c>
      <c r="F97" s="9" t="s">
        <v>90</v>
      </c>
      <c r="G97" s="9"/>
      <c r="H97" s="32"/>
    </row>
    <row r="98" spans="1:8" x14ac:dyDescent="0.2">
      <c r="A98" s="8">
        <v>45380</v>
      </c>
      <c r="B98" s="65" t="s">
        <v>77</v>
      </c>
      <c r="C98" s="11">
        <v>140</v>
      </c>
      <c r="D98" s="9" t="s">
        <v>81</v>
      </c>
      <c r="E98" s="9" t="s">
        <v>88</v>
      </c>
      <c r="F98" s="9" t="s">
        <v>90</v>
      </c>
      <c r="G98" s="9" t="s">
        <v>6</v>
      </c>
      <c r="H98" s="9"/>
    </row>
    <row r="99" spans="1:8" x14ac:dyDescent="0.2">
      <c r="A99" s="8">
        <v>45397</v>
      </c>
      <c r="B99" s="65" t="s">
        <v>76</v>
      </c>
      <c r="C99" s="11">
        <v>1260</v>
      </c>
      <c r="D99" s="9" t="s">
        <v>81</v>
      </c>
      <c r="E99" s="9" t="s">
        <v>88</v>
      </c>
      <c r="F99" s="9" t="s">
        <v>90</v>
      </c>
      <c r="G99" s="32" t="s">
        <v>7</v>
      </c>
      <c r="H99" s="32"/>
    </row>
    <row r="100" spans="1:8" x14ac:dyDescent="0.2">
      <c r="A100" s="8">
        <v>45017</v>
      </c>
      <c r="B100" s="32" t="s">
        <v>75</v>
      </c>
      <c r="C100" s="11">
        <v>-1400</v>
      </c>
      <c r="D100" s="9" t="s">
        <v>81</v>
      </c>
      <c r="E100" s="9" t="s">
        <v>88</v>
      </c>
      <c r="F100" s="9" t="s">
        <v>90</v>
      </c>
      <c r="G100" s="9"/>
      <c r="H100" s="32"/>
    </row>
    <row r="101" spans="1:8" x14ac:dyDescent="0.2">
      <c r="A101" s="8">
        <v>45424</v>
      </c>
      <c r="B101" s="56" t="s">
        <v>77</v>
      </c>
      <c r="C101" s="11">
        <v>143</v>
      </c>
      <c r="D101" s="9" t="s">
        <v>81</v>
      </c>
      <c r="E101" s="9" t="s">
        <v>88</v>
      </c>
      <c r="F101" s="9" t="s">
        <v>90</v>
      </c>
      <c r="G101" s="9" t="s">
        <v>6</v>
      </c>
      <c r="H101" s="32" t="s">
        <v>94</v>
      </c>
    </row>
    <row r="102" spans="1:8" x14ac:dyDescent="0.2">
      <c r="A102" s="8">
        <v>45425</v>
      </c>
      <c r="B102" s="56" t="s">
        <v>76</v>
      </c>
      <c r="C102" s="11">
        <v>1257</v>
      </c>
      <c r="D102" s="9" t="s">
        <v>81</v>
      </c>
      <c r="E102" s="9" t="s">
        <v>88</v>
      </c>
      <c r="F102" s="9" t="s">
        <v>90</v>
      </c>
      <c r="G102" s="32" t="s">
        <v>7</v>
      </c>
      <c r="H102" s="32" t="s">
        <v>94</v>
      </c>
    </row>
    <row r="103" spans="1:8" x14ac:dyDescent="0.2">
      <c r="A103" s="8">
        <v>45047</v>
      </c>
      <c r="B103" s="32" t="s">
        <v>75</v>
      </c>
      <c r="C103" s="11">
        <v>-1400</v>
      </c>
      <c r="D103" s="9" t="s">
        <v>81</v>
      </c>
      <c r="E103" s="9" t="s">
        <v>88</v>
      </c>
      <c r="F103" s="9" t="s">
        <v>90</v>
      </c>
      <c r="G103" s="9"/>
      <c r="H103" s="32"/>
    </row>
    <row r="104" spans="1:8" x14ac:dyDescent="0.2">
      <c r="A104" s="8">
        <v>45454</v>
      </c>
      <c r="B104" s="56" t="s">
        <v>77</v>
      </c>
      <c r="C104" s="11">
        <v>143</v>
      </c>
      <c r="D104" s="9" t="s">
        <v>81</v>
      </c>
      <c r="E104" s="9" t="s">
        <v>88</v>
      </c>
      <c r="F104" s="9" t="s">
        <v>90</v>
      </c>
      <c r="G104" s="9" t="s">
        <v>6</v>
      </c>
      <c r="H104" s="32" t="s">
        <v>94</v>
      </c>
    </row>
    <row r="105" spans="1:8" x14ac:dyDescent="0.2">
      <c r="A105" s="8">
        <v>45454</v>
      </c>
      <c r="B105" s="56" t="s">
        <v>76</v>
      </c>
      <c r="C105" s="11">
        <v>1257</v>
      </c>
      <c r="D105" s="9" t="s">
        <v>81</v>
      </c>
      <c r="E105" s="9" t="s">
        <v>88</v>
      </c>
      <c r="F105" s="9" t="s">
        <v>90</v>
      </c>
      <c r="G105" s="9" t="s">
        <v>7</v>
      </c>
      <c r="H105" s="32" t="s">
        <v>94</v>
      </c>
    </row>
    <row r="106" spans="1:8" x14ac:dyDescent="0.2">
      <c r="A106" s="8">
        <v>45444</v>
      </c>
      <c r="B106" s="32" t="s">
        <v>75</v>
      </c>
      <c r="C106" s="11">
        <v>-1400</v>
      </c>
      <c r="D106" s="9" t="s">
        <v>81</v>
      </c>
      <c r="E106" s="9" t="s">
        <v>88</v>
      </c>
      <c r="F106" s="9" t="s">
        <v>90</v>
      </c>
      <c r="G106" s="9"/>
      <c r="H106" s="32"/>
    </row>
    <row r="107" spans="1:8" x14ac:dyDescent="0.2">
      <c r="A107" s="8">
        <v>45465</v>
      </c>
      <c r="B107" s="56" t="s">
        <v>77</v>
      </c>
      <c r="C107" s="11">
        <v>140</v>
      </c>
      <c r="D107" s="9" t="s">
        <v>81</v>
      </c>
      <c r="E107" s="9" t="s">
        <v>88</v>
      </c>
      <c r="F107" s="9" t="s">
        <v>90</v>
      </c>
      <c r="G107" s="9" t="s">
        <v>6</v>
      </c>
      <c r="H107" s="32"/>
    </row>
    <row r="108" spans="1:8" x14ac:dyDescent="0.2">
      <c r="A108" s="8">
        <v>45467</v>
      </c>
      <c r="B108" s="56" t="s">
        <v>76</v>
      </c>
      <c r="C108" s="11">
        <v>1260</v>
      </c>
      <c r="D108" s="9" t="s">
        <v>81</v>
      </c>
      <c r="E108" s="9" t="s">
        <v>88</v>
      </c>
      <c r="F108" s="9" t="s">
        <v>90</v>
      </c>
      <c r="G108" s="32" t="s">
        <v>7</v>
      </c>
      <c r="H108" s="32"/>
    </row>
    <row r="109" spans="1:8" x14ac:dyDescent="0.2">
      <c r="A109" s="8">
        <v>45474</v>
      </c>
      <c r="B109" s="32" t="s">
        <v>75</v>
      </c>
      <c r="C109" s="11">
        <v>-1400</v>
      </c>
      <c r="D109" s="9" t="s">
        <v>81</v>
      </c>
      <c r="E109" s="9" t="s">
        <v>88</v>
      </c>
      <c r="F109" s="9" t="s">
        <v>90</v>
      </c>
      <c r="G109" s="9"/>
      <c r="H109" s="32"/>
    </row>
    <row r="110" spans="1:8" x14ac:dyDescent="0.2">
      <c r="A110" s="8">
        <v>45488</v>
      </c>
      <c r="B110" s="56" t="s">
        <v>77</v>
      </c>
      <c r="C110" s="11">
        <v>134.63414634146343</v>
      </c>
      <c r="D110" s="9" t="s">
        <v>81</v>
      </c>
      <c r="E110" s="9" t="s">
        <v>88</v>
      </c>
      <c r="F110" s="9" t="s">
        <v>90</v>
      </c>
      <c r="G110" s="9" t="s">
        <v>6</v>
      </c>
      <c r="H110" s="32">
        <v>4600</v>
      </c>
    </row>
    <row r="111" spans="1:8" x14ac:dyDescent="0.2">
      <c r="A111" s="8">
        <v>45490</v>
      </c>
      <c r="B111" s="56" t="s">
        <v>76</v>
      </c>
      <c r="C111" s="11">
        <v>1265.3658536585367</v>
      </c>
      <c r="D111" s="9" t="s">
        <v>81</v>
      </c>
      <c r="E111" s="9" t="s">
        <v>88</v>
      </c>
      <c r="F111" s="9" t="s">
        <v>90</v>
      </c>
      <c r="G111" s="32" t="s">
        <v>7</v>
      </c>
      <c r="H111" s="32"/>
    </row>
    <row r="112" spans="1:8" x14ac:dyDescent="0.2">
      <c r="A112" s="8">
        <v>45505</v>
      </c>
      <c r="B112" s="32" t="s">
        <v>75</v>
      </c>
      <c r="C112" s="11">
        <v>-1400</v>
      </c>
      <c r="D112" s="9" t="s">
        <v>81</v>
      </c>
      <c r="E112" s="9" t="s">
        <v>88</v>
      </c>
      <c r="F112" s="9" t="s">
        <v>90</v>
      </c>
      <c r="G112" s="9"/>
      <c r="H112" s="32"/>
    </row>
    <row r="113" spans="1:8" x14ac:dyDescent="0.2">
      <c r="A113" s="8">
        <v>45523</v>
      </c>
      <c r="B113" s="56" t="s">
        <v>77</v>
      </c>
      <c r="C113" s="11">
        <v>136</v>
      </c>
      <c r="D113" s="9" t="s">
        <v>81</v>
      </c>
      <c r="E113" s="9" t="s">
        <v>88</v>
      </c>
      <c r="F113" s="9" t="s">
        <v>90</v>
      </c>
      <c r="G113" s="9" t="s">
        <v>6</v>
      </c>
      <c r="H113" s="32"/>
    </row>
    <row r="114" spans="1:8" x14ac:dyDescent="0.2">
      <c r="A114" s="8">
        <v>45523</v>
      </c>
      <c r="B114" s="56" t="s">
        <v>76</v>
      </c>
      <c r="C114" s="11">
        <v>1264</v>
      </c>
      <c r="D114" s="9" t="s">
        <v>81</v>
      </c>
      <c r="E114" s="9" t="s">
        <v>88</v>
      </c>
      <c r="F114" s="9" t="s">
        <v>90</v>
      </c>
      <c r="G114" s="9" t="s">
        <v>7</v>
      </c>
      <c r="H114" s="32"/>
    </row>
    <row r="115" spans="1:8" x14ac:dyDescent="0.2">
      <c r="A115" s="8">
        <v>45536</v>
      </c>
      <c r="B115" s="32" t="s">
        <v>75</v>
      </c>
      <c r="C115" s="11">
        <v>-1400</v>
      </c>
      <c r="D115" s="9" t="s">
        <v>81</v>
      </c>
      <c r="E115" s="9" t="s">
        <v>88</v>
      </c>
      <c r="F115" s="9" t="s">
        <v>90</v>
      </c>
      <c r="G115" s="9"/>
      <c r="H115" s="32"/>
    </row>
    <row r="116" spans="1:8" x14ac:dyDescent="0.2">
      <c r="A116" s="8">
        <v>45555</v>
      </c>
      <c r="B116" s="56" t="s">
        <v>77</v>
      </c>
      <c r="C116" s="11">
        <v>135</v>
      </c>
      <c r="D116" s="9" t="s">
        <v>81</v>
      </c>
      <c r="E116" s="9" t="s">
        <v>88</v>
      </c>
      <c r="F116" s="9" t="s">
        <v>90</v>
      </c>
      <c r="G116" s="9" t="s">
        <v>6</v>
      </c>
      <c r="H116" s="32"/>
    </row>
    <row r="117" spans="1:8" ht="17" thickBot="1" x14ac:dyDescent="0.25">
      <c r="A117" s="8">
        <v>45558</v>
      </c>
      <c r="B117" s="60" t="s">
        <v>76</v>
      </c>
      <c r="C117" s="11">
        <v>1265</v>
      </c>
      <c r="D117" s="9" t="s">
        <v>81</v>
      </c>
      <c r="E117" s="9" t="s">
        <v>88</v>
      </c>
      <c r="F117" s="9" t="s">
        <v>90</v>
      </c>
      <c r="G117" s="32" t="s">
        <v>7</v>
      </c>
      <c r="H117" s="58"/>
    </row>
    <row r="118" spans="1:8" ht="17" thickTop="1" x14ac:dyDescent="0.2">
      <c r="A118" s="8">
        <v>45566</v>
      </c>
      <c r="B118" s="32" t="s">
        <v>75</v>
      </c>
      <c r="C118" s="11">
        <v>-1400</v>
      </c>
      <c r="D118" s="9" t="s">
        <v>81</v>
      </c>
      <c r="E118" s="9" t="s">
        <v>88</v>
      </c>
      <c r="F118" s="9" t="s">
        <v>90</v>
      </c>
      <c r="G118" s="9"/>
      <c r="H118" s="32" t="s">
        <v>95</v>
      </c>
    </row>
    <row r="119" spans="1:8" x14ac:dyDescent="0.2">
      <c r="A119" s="8">
        <v>45585</v>
      </c>
      <c r="B119" s="56" t="s">
        <v>77</v>
      </c>
      <c r="C119" s="11">
        <v>136</v>
      </c>
      <c r="D119" s="9" t="s">
        <v>81</v>
      </c>
      <c r="E119" s="9" t="s">
        <v>88</v>
      </c>
      <c r="F119" s="9" t="s">
        <v>90</v>
      </c>
      <c r="G119" s="9" t="s">
        <v>6</v>
      </c>
      <c r="H119" s="32"/>
    </row>
    <row r="120" spans="1:8" x14ac:dyDescent="0.2">
      <c r="A120" s="8">
        <v>45587</v>
      </c>
      <c r="B120" s="62" t="s">
        <v>76</v>
      </c>
      <c r="C120" s="11">
        <v>1264</v>
      </c>
      <c r="D120" s="9" t="s">
        <v>81</v>
      </c>
      <c r="E120" s="9" t="s">
        <v>88</v>
      </c>
      <c r="F120" s="9" t="s">
        <v>90</v>
      </c>
      <c r="G120" s="32" t="s">
        <v>7</v>
      </c>
      <c r="H120" s="63"/>
    </row>
    <row r="121" spans="1:8" x14ac:dyDescent="0.2">
      <c r="A121" s="8">
        <v>45597</v>
      </c>
      <c r="B121" s="64" t="s">
        <v>75</v>
      </c>
      <c r="C121" s="11">
        <v>-1400</v>
      </c>
      <c r="D121" s="9" t="s">
        <v>81</v>
      </c>
      <c r="E121" s="9" t="s">
        <v>88</v>
      </c>
      <c r="F121" s="9" t="s">
        <v>90</v>
      </c>
      <c r="G121" s="64"/>
      <c r="H121" s="32" t="s">
        <v>95</v>
      </c>
    </row>
    <row r="122" spans="1:8" x14ac:dyDescent="0.2">
      <c r="A122" s="8">
        <v>45624</v>
      </c>
      <c r="B122" s="56" t="s">
        <v>77</v>
      </c>
      <c r="C122" s="11">
        <v>133</v>
      </c>
      <c r="D122" s="9" t="s">
        <v>81</v>
      </c>
      <c r="E122" s="9" t="s">
        <v>88</v>
      </c>
      <c r="F122" s="9" t="s">
        <v>90</v>
      </c>
      <c r="G122" s="9" t="s">
        <v>6</v>
      </c>
      <c r="H122" s="32"/>
    </row>
    <row r="123" spans="1:8" x14ac:dyDescent="0.2">
      <c r="A123" s="8">
        <v>45625</v>
      </c>
      <c r="B123" s="62" t="s">
        <v>76</v>
      </c>
      <c r="C123" s="11">
        <v>1267</v>
      </c>
      <c r="D123" s="9" t="s">
        <v>81</v>
      </c>
      <c r="E123" s="9" t="s">
        <v>88</v>
      </c>
      <c r="F123" s="9" t="s">
        <v>90</v>
      </c>
      <c r="G123" s="9" t="s">
        <v>7</v>
      </c>
      <c r="H123" s="63"/>
    </row>
    <row r="124" spans="1:8" s="1" customFormat="1" x14ac:dyDescent="0.2">
      <c r="A124" s="8">
        <v>45627</v>
      </c>
      <c r="B124" s="64" t="s">
        <v>75</v>
      </c>
      <c r="C124" s="11">
        <v>-1550</v>
      </c>
      <c r="D124" s="9" t="s">
        <v>81</v>
      </c>
      <c r="E124" s="9" t="s">
        <v>88</v>
      </c>
      <c r="F124" s="9" t="s">
        <v>90</v>
      </c>
      <c r="G124" s="64"/>
      <c r="H124" s="64"/>
    </row>
    <row r="125" spans="1:8" x14ac:dyDescent="0.2">
      <c r="A125" s="8">
        <v>45681</v>
      </c>
      <c r="B125" s="56" t="s">
        <v>77</v>
      </c>
      <c r="C125" s="11">
        <v>128.93309222423144</v>
      </c>
      <c r="D125" s="9" t="s">
        <v>81</v>
      </c>
      <c r="E125" s="9" t="s">
        <v>88</v>
      </c>
      <c r="F125" s="9" t="s">
        <v>90</v>
      </c>
      <c r="G125" s="9" t="s">
        <v>6</v>
      </c>
      <c r="H125" s="32"/>
    </row>
    <row r="126" spans="1:8" x14ac:dyDescent="0.2">
      <c r="A126" s="8">
        <v>45681</v>
      </c>
      <c r="B126" s="62" t="s">
        <v>76</v>
      </c>
      <c r="C126" s="11">
        <v>1421.0669077757684</v>
      </c>
      <c r="D126" s="9" t="s">
        <v>81</v>
      </c>
      <c r="E126" s="9" t="s">
        <v>88</v>
      </c>
      <c r="F126" s="9" t="s">
        <v>90</v>
      </c>
      <c r="G126" s="63" t="s">
        <v>7</v>
      </c>
      <c r="H126" s="63"/>
    </row>
    <row r="127" spans="1:8" x14ac:dyDescent="0.2">
      <c r="A127" s="8">
        <v>45658</v>
      </c>
      <c r="B127" s="64" t="s">
        <v>75</v>
      </c>
      <c r="C127" s="11">
        <v>-1550</v>
      </c>
      <c r="D127" s="9" t="s">
        <v>81</v>
      </c>
      <c r="E127" s="9" t="s">
        <v>88</v>
      </c>
      <c r="F127" s="9" t="s">
        <v>90</v>
      </c>
      <c r="G127" s="32"/>
      <c r="H127" s="32"/>
    </row>
    <row r="128" spans="1:8" x14ac:dyDescent="0.2">
      <c r="A128" s="8">
        <v>45709</v>
      </c>
      <c r="B128" s="56" t="s">
        <v>77</v>
      </c>
      <c r="C128" s="11">
        <v>192</v>
      </c>
      <c r="D128" s="9" t="s">
        <v>81</v>
      </c>
      <c r="E128" s="9" t="s">
        <v>88</v>
      </c>
      <c r="F128" s="9" t="s">
        <v>90</v>
      </c>
      <c r="G128" s="9" t="s">
        <v>6</v>
      </c>
      <c r="H128" s="32"/>
    </row>
    <row r="129" spans="1:8" x14ac:dyDescent="0.2">
      <c r="A129" s="8">
        <v>45712</v>
      </c>
      <c r="B129" s="62" t="s">
        <v>76</v>
      </c>
      <c r="C129" s="11">
        <v>1358</v>
      </c>
      <c r="D129" s="9" t="s">
        <v>81</v>
      </c>
      <c r="E129" s="9" t="s">
        <v>88</v>
      </c>
      <c r="F129" s="9" t="s">
        <v>90</v>
      </c>
      <c r="G129" s="63" t="s">
        <v>7</v>
      </c>
      <c r="H129" s="63"/>
    </row>
    <row r="130" spans="1:8" x14ac:dyDescent="0.2">
      <c r="A130" s="8">
        <v>45689</v>
      </c>
      <c r="B130" s="32" t="s">
        <v>75</v>
      </c>
      <c r="C130" s="11">
        <v>-1550</v>
      </c>
      <c r="D130" s="9" t="s">
        <v>81</v>
      </c>
      <c r="E130" s="9" t="s">
        <v>88</v>
      </c>
      <c r="F130" s="9" t="s">
        <v>90</v>
      </c>
      <c r="G130" s="32"/>
      <c r="H130" s="32"/>
    </row>
    <row r="131" spans="1:8" x14ac:dyDescent="0.2">
      <c r="A131" s="8">
        <v>45754</v>
      </c>
      <c r="B131" s="56" t="s">
        <v>77</v>
      </c>
      <c r="C131" s="11">
        <v>183</v>
      </c>
      <c r="D131" s="9" t="s">
        <v>81</v>
      </c>
      <c r="E131" s="9" t="s">
        <v>88</v>
      </c>
      <c r="F131" s="9" t="s">
        <v>90</v>
      </c>
      <c r="G131" s="9" t="s">
        <v>6</v>
      </c>
      <c r="H131" s="32"/>
    </row>
    <row r="132" spans="1:8" x14ac:dyDescent="0.2">
      <c r="A132" s="8">
        <v>45754</v>
      </c>
      <c r="B132" s="62" t="s">
        <v>76</v>
      </c>
      <c r="C132" s="11">
        <v>1367</v>
      </c>
      <c r="D132" s="9" t="s">
        <v>81</v>
      </c>
      <c r="E132" s="9" t="s">
        <v>88</v>
      </c>
      <c r="F132" s="9" t="s">
        <v>90</v>
      </c>
      <c r="G132" s="63" t="s">
        <v>7</v>
      </c>
      <c r="H132" s="63"/>
    </row>
    <row r="133" spans="1:8" x14ac:dyDescent="0.2">
      <c r="A133" s="8">
        <v>45717</v>
      </c>
      <c r="B133" s="32" t="s">
        <v>75</v>
      </c>
      <c r="C133" s="11">
        <v>-1550</v>
      </c>
      <c r="D133" s="9" t="s">
        <v>81</v>
      </c>
      <c r="E133" s="9" t="s">
        <v>88</v>
      </c>
      <c r="F133" s="9" t="s">
        <v>90</v>
      </c>
      <c r="G133" s="32"/>
      <c r="H133" s="32"/>
    </row>
    <row r="134" spans="1:8" x14ac:dyDescent="0.2">
      <c r="A134" s="8">
        <v>45774</v>
      </c>
      <c r="B134" s="56" t="s">
        <v>77</v>
      </c>
      <c r="C134" s="11">
        <v>185</v>
      </c>
      <c r="D134" s="9" t="s">
        <v>81</v>
      </c>
      <c r="E134" s="9" t="s">
        <v>88</v>
      </c>
      <c r="F134" s="9" t="s">
        <v>90</v>
      </c>
      <c r="G134" s="9" t="s">
        <v>6</v>
      </c>
      <c r="H134" s="32"/>
    </row>
    <row r="135" spans="1:8" x14ac:dyDescent="0.2">
      <c r="A135" s="8">
        <v>45775</v>
      </c>
      <c r="B135" s="56" t="s">
        <v>76</v>
      </c>
      <c r="C135" s="11">
        <v>1365</v>
      </c>
      <c r="D135" s="9" t="s">
        <v>81</v>
      </c>
      <c r="E135" s="9" t="s">
        <v>88</v>
      </c>
      <c r="F135" s="9" t="s">
        <v>90</v>
      </c>
      <c r="G135" s="63" t="s">
        <v>7</v>
      </c>
      <c r="H135" s="63"/>
    </row>
    <row r="136" spans="1:8" x14ac:dyDescent="0.2">
      <c r="A136" s="8">
        <v>45748</v>
      </c>
      <c r="B136" s="32" t="s">
        <v>75</v>
      </c>
      <c r="C136" s="11">
        <v>-1550</v>
      </c>
      <c r="D136" s="9" t="s">
        <v>81</v>
      </c>
      <c r="E136" s="9" t="s">
        <v>88</v>
      </c>
      <c r="F136" s="9" t="s">
        <v>90</v>
      </c>
      <c r="G136" s="64"/>
      <c r="H136" s="64"/>
    </row>
    <row r="137" spans="1:8" x14ac:dyDescent="0.2">
      <c r="A137" s="8">
        <v>45828</v>
      </c>
      <c r="B137" s="56" t="s">
        <v>77</v>
      </c>
      <c r="C137" s="11">
        <v>177.5</v>
      </c>
      <c r="D137" s="9" t="s">
        <v>81</v>
      </c>
      <c r="E137" s="9" t="s">
        <v>88</v>
      </c>
      <c r="F137" s="9" t="s">
        <v>90</v>
      </c>
      <c r="G137" s="9" t="s">
        <v>6</v>
      </c>
      <c r="H137" s="32"/>
    </row>
    <row r="138" spans="1:8" x14ac:dyDescent="0.2">
      <c r="A138" s="8">
        <v>45833</v>
      </c>
      <c r="B138" s="56" t="s">
        <v>76</v>
      </c>
      <c r="C138" s="11">
        <v>0</v>
      </c>
      <c r="D138" s="9" t="s">
        <v>81</v>
      </c>
      <c r="E138" s="9" t="s">
        <v>88</v>
      </c>
      <c r="F138" s="9" t="s">
        <v>90</v>
      </c>
      <c r="G138" s="63" t="s">
        <v>7</v>
      </c>
      <c r="H138" s="63"/>
    </row>
    <row r="139" spans="1:8" x14ac:dyDescent="0.2">
      <c r="A139" s="8">
        <v>45778</v>
      </c>
      <c r="B139" s="32" t="s">
        <v>75</v>
      </c>
      <c r="C139" s="11">
        <v>-1550</v>
      </c>
      <c r="D139" s="9" t="s">
        <v>81</v>
      </c>
      <c r="E139" s="9" t="s">
        <v>88</v>
      </c>
      <c r="F139" s="9" t="s">
        <v>90</v>
      </c>
      <c r="G139" s="64"/>
      <c r="H139" s="64"/>
    </row>
    <row r="140" spans="1:8" x14ac:dyDescent="0.2">
      <c r="A140" s="8">
        <v>45828</v>
      </c>
      <c r="B140" s="56" t="s">
        <v>77</v>
      </c>
      <c r="C140" s="11">
        <v>177.5</v>
      </c>
      <c r="D140" s="9" t="s">
        <v>81</v>
      </c>
      <c r="E140" s="9" t="s">
        <v>88</v>
      </c>
      <c r="F140" s="9" t="s">
        <v>90</v>
      </c>
      <c r="G140" s="9" t="s">
        <v>6</v>
      </c>
      <c r="H140" s="32"/>
    </row>
    <row r="141" spans="1:8" x14ac:dyDescent="0.2">
      <c r="A141" s="8">
        <v>45833</v>
      </c>
      <c r="B141" s="56" t="s">
        <v>76</v>
      </c>
      <c r="C141" s="11">
        <v>2745</v>
      </c>
      <c r="D141" s="9" t="s">
        <v>81</v>
      </c>
      <c r="E141" s="9" t="s">
        <v>88</v>
      </c>
      <c r="F141" s="9" t="s">
        <v>90</v>
      </c>
      <c r="G141" s="63" t="s">
        <v>7</v>
      </c>
      <c r="H141" s="63"/>
    </row>
    <row r="142" spans="1:8" x14ac:dyDescent="0.2">
      <c r="A142" s="8">
        <v>45809</v>
      </c>
      <c r="B142" s="32" t="s">
        <v>75</v>
      </c>
      <c r="C142" s="11">
        <v>-1550</v>
      </c>
      <c r="D142" s="9" t="s">
        <v>81</v>
      </c>
      <c r="E142" s="9" t="s">
        <v>88</v>
      </c>
      <c r="F142" s="9" t="s">
        <v>90</v>
      </c>
      <c r="G142" s="64"/>
      <c r="H142" s="64"/>
    </row>
    <row r="143" spans="1:8" x14ac:dyDescent="0.2">
      <c r="A143" s="8">
        <v>45898</v>
      </c>
      <c r="B143" s="56" t="s">
        <v>77</v>
      </c>
      <c r="C143" s="11">
        <v>171</v>
      </c>
      <c r="D143" s="9" t="s">
        <v>81</v>
      </c>
      <c r="E143" s="9" t="s">
        <v>88</v>
      </c>
      <c r="F143" s="9" t="s">
        <v>90</v>
      </c>
      <c r="G143" s="9" t="s">
        <v>6</v>
      </c>
      <c r="H143" s="32"/>
    </row>
    <row r="144" spans="1:8" x14ac:dyDescent="0.2">
      <c r="A144" s="8">
        <v>45898</v>
      </c>
      <c r="B144" s="56" t="s">
        <v>76</v>
      </c>
      <c r="C144" s="11">
        <v>1379</v>
      </c>
      <c r="D144" s="9" t="s">
        <v>81</v>
      </c>
      <c r="E144" s="9" t="s">
        <v>88</v>
      </c>
      <c r="F144" s="9" t="s">
        <v>90</v>
      </c>
      <c r="G144" s="63" t="s">
        <v>7</v>
      </c>
      <c r="H144" s="63"/>
    </row>
    <row r="145" spans="1:8" x14ac:dyDescent="0.2">
      <c r="A145" s="8">
        <v>45839</v>
      </c>
      <c r="B145" s="32" t="s">
        <v>75</v>
      </c>
      <c r="C145" s="11">
        <v>-1550</v>
      </c>
      <c r="D145" s="9" t="s">
        <v>81</v>
      </c>
      <c r="E145" s="9" t="s">
        <v>88</v>
      </c>
      <c r="F145" s="9" t="s">
        <v>90</v>
      </c>
      <c r="G145" s="64"/>
      <c r="H145" s="64"/>
    </row>
    <row r="146" spans="1:8" x14ac:dyDescent="0.2">
      <c r="A146" s="8">
        <v>45916</v>
      </c>
      <c r="B146" s="56" t="s">
        <v>77</v>
      </c>
      <c r="C146" s="11">
        <v>170</v>
      </c>
      <c r="D146" s="9" t="s">
        <v>81</v>
      </c>
      <c r="E146" s="9" t="s">
        <v>88</v>
      </c>
      <c r="F146" s="9" t="s">
        <v>90</v>
      </c>
      <c r="G146" s="9" t="s">
        <v>6</v>
      </c>
      <c r="H146" s="32"/>
    </row>
    <row r="147" spans="1:8" x14ac:dyDescent="0.2">
      <c r="A147" s="8">
        <v>45916</v>
      </c>
      <c r="B147" s="56" t="s">
        <v>76</v>
      </c>
      <c r="C147" s="11">
        <v>1380</v>
      </c>
      <c r="D147" s="9" t="s">
        <v>81</v>
      </c>
      <c r="E147" s="9" t="s">
        <v>88</v>
      </c>
      <c r="F147" s="9" t="s">
        <v>90</v>
      </c>
      <c r="G147" s="63" t="s">
        <v>7</v>
      </c>
      <c r="H147" s="63"/>
    </row>
    <row r="148" spans="1:8" x14ac:dyDescent="0.2">
      <c r="A148" s="8">
        <v>45870</v>
      </c>
      <c r="B148" s="32" t="s">
        <v>75</v>
      </c>
      <c r="C148" s="11">
        <v>-1550</v>
      </c>
      <c r="D148" s="9" t="s">
        <v>81</v>
      </c>
      <c r="E148" s="9" t="s">
        <v>88</v>
      </c>
      <c r="F148" s="9" t="s">
        <v>90</v>
      </c>
      <c r="G148" s="64"/>
      <c r="H148" s="64"/>
    </row>
    <row r="149" spans="1:8" x14ac:dyDescent="0.2">
      <c r="A149" s="8">
        <v>45985</v>
      </c>
      <c r="B149" s="56" t="s">
        <v>77</v>
      </c>
      <c r="C149" s="11">
        <v>166</v>
      </c>
      <c r="D149" s="9" t="s">
        <v>81</v>
      </c>
      <c r="E149" s="9" t="s">
        <v>88</v>
      </c>
      <c r="F149" s="9" t="s">
        <v>90</v>
      </c>
      <c r="G149" s="9" t="s">
        <v>6</v>
      </c>
      <c r="H149" s="32"/>
    </row>
    <row r="150" spans="1:8" x14ac:dyDescent="0.2">
      <c r="A150" s="8">
        <v>45985</v>
      </c>
      <c r="B150" s="56" t="s">
        <v>76</v>
      </c>
      <c r="C150" s="11">
        <v>1384</v>
      </c>
      <c r="D150" s="9" t="s">
        <v>81</v>
      </c>
      <c r="E150" s="9" t="s">
        <v>88</v>
      </c>
      <c r="F150" s="9" t="s">
        <v>90</v>
      </c>
      <c r="G150" s="9" t="s">
        <v>7</v>
      </c>
      <c r="H150" s="63"/>
    </row>
    <row r="151" spans="1:8" x14ac:dyDescent="0.2">
      <c r="A151" s="8">
        <v>45901</v>
      </c>
      <c r="B151" s="32" t="s">
        <v>75</v>
      </c>
      <c r="C151" s="11">
        <v>-1550</v>
      </c>
      <c r="D151" s="9" t="s">
        <v>81</v>
      </c>
      <c r="E151" s="9" t="s">
        <v>88</v>
      </c>
      <c r="F151" s="9" t="s">
        <v>90</v>
      </c>
      <c r="G151" s="32"/>
      <c r="H151" s="32"/>
    </row>
    <row r="152" spans="1:8" x14ac:dyDescent="0.2">
      <c r="A152" s="8">
        <v>46010</v>
      </c>
      <c r="B152" s="56" t="s">
        <v>77</v>
      </c>
      <c r="C152" s="11">
        <v>164</v>
      </c>
      <c r="D152" s="9" t="s">
        <v>81</v>
      </c>
      <c r="E152" s="9" t="s">
        <v>88</v>
      </c>
      <c r="F152" s="9" t="s">
        <v>90</v>
      </c>
      <c r="G152" s="9" t="s">
        <v>6</v>
      </c>
      <c r="H152" s="32"/>
    </row>
    <row r="153" spans="1:8" s="1" customFormat="1" x14ac:dyDescent="0.2">
      <c r="A153" s="8">
        <v>45931</v>
      </c>
      <c r="B153" s="32" t="s">
        <v>75</v>
      </c>
      <c r="C153" s="11">
        <v>-1700</v>
      </c>
      <c r="D153" s="9" t="s">
        <v>81</v>
      </c>
      <c r="E153" s="9" t="s">
        <v>88</v>
      </c>
      <c r="F153" s="9" t="s">
        <v>90</v>
      </c>
      <c r="G153" s="9"/>
      <c r="H153" s="32" t="s">
        <v>74</v>
      </c>
    </row>
    <row r="154" spans="1:8" x14ac:dyDescent="0.2">
      <c r="A154" s="8">
        <v>46010</v>
      </c>
      <c r="B154" s="56" t="s">
        <v>77</v>
      </c>
      <c r="C154" s="11">
        <v>164</v>
      </c>
      <c r="D154" s="9" t="s">
        <v>81</v>
      </c>
      <c r="E154" s="9" t="s">
        <v>88</v>
      </c>
      <c r="F154" s="9" t="s">
        <v>90</v>
      </c>
      <c r="G154" s="9" t="s">
        <v>6</v>
      </c>
      <c r="H154" s="32"/>
    </row>
    <row r="155" spans="1:8" x14ac:dyDescent="0.2">
      <c r="A155" s="8">
        <v>46010</v>
      </c>
      <c r="B155" s="56" t="s">
        <v>76</v>
      </c>
      <c r="C155" s="11">
        <v>2772</v>
      </c>
      <c r="D155" s="9" t="s">
        <v>81</v>
      </c>
      <c r="E155" s="9" t="s">
        <v>88</v>
      </c>
      <c r="F155" s="9" t="s">
        <v>90</v>
      </c>
      <c r="G155" s="9" t="s">
        <v>7</v>
      </c>
      <c r="H155" s="63"/>
    </row>
    <row r="156" spans="1:8" x14ac:dyDescent="0.2">
      <c r="A156" s="8">
        <v>45962</v>
      </c>
      <c r="B156" s="32" t="s">
        <v>75</v>
      </c>
      <c r="C156" s="11">
        <v>-1700</v>
      </c>
      <c r="D156" s="9" t="s">
        <v>81</v>
      </c>
      <c r="E156" s="9" t="s">
        <v>88</v>
      </c>
      <c r="F156" s="9" t="s">
        <v>90</v>
      </c>
      <c r="G156" s="32"/>
      <c r="H156" s="64"/>
    </row>
    <row r="157" spans="1:8" x14ac:dyDescent="0.2">
      <c r="A157" s="8">
        <v>46035</v>
      </c>
      <c r="B157" s="56" t="s">
        <v>77</v>
      </c>
      <c r="C157" s="11">
        <v>225</v>
      </c>
      <c r="D157" s="9" t="s">
        <v>81</v>
      </c>
      <c r="E157" s="9" t="s">
        <v>88</v>
      </c>
      <c r="F157" s="9" t="s">
        <v>90</v>
      </c>
      <c r="G157" s="9" t="s">
        <v>6</v>
      </c>
      <c r="H157" s="32"/>
    </row>
    <row r="158" spans="1:8" x14ac:dyDescent="0.2">
      <c r="A158" s="8">
        <v>46035</v>
      </c>
      <c r="B158" s="56" t="s">
        <v>76</v>
      </c>
      <c r="C158" s="11">
        <v>1475</v>
      </c>
      <c r="D158" s="9" t="s">
        <v>81</v>
      </c>
      <c r="E158" s="9" t="s">
        <v>88</v>
      </c>
      <c r="F158" s="9" t="s">
        <v>90</v>
      </c>
      <c r="G158" s="9" t="s">
        <v>7</v>
      </c>
      <c r="H158" s="32"/>
    </row>
    <row r="159" spans="1:8" x14ac:dyDescent="0.2">
      <c r="A159" s="8">
        <v>45992</v>
      </c>
      <c r="B159" s="32" t="s">
        <v>75</v>
      </c>
      <c r="C159" s="11">
        <v>-1700</v>
      </c>
      <c r="D159" s="9" t="s">
        <v>81</v>
      </c>
      <c r="E159" s="9" t="s">
        <v>88</v>
      </c>
      <c r="F159" s="9" t="s">
        <v>90</v>
      </c>
      <c r="G159" s="32"/>
      <c r="H159" s="64"/>
    </row>
    <row r="160" spans="1:8" x14ac:dyDescent="0.2">
      <c r="A160" s="8">
        <v>46075</v>
      </c>
      <c r="B160" s="56" t="s">
        <v>77</v>
      </c>
      <c r="C160" s="11">
        <v>225</v>
      </c>
      <c r="D160" s="9" t="s">
        <v>81</v>
      </c>
      <c r="E160" s="9" t="s">
        <v>88</v>
      </c>
      <c r="F160" s="9" t="s">
        <v>90</v>
      </c>
      <c r="G160" s="9" t="s">
        <v>6</v>
      </c>
      <c r="H160" s="32"/>
    </row>
    <row r="161" spans="1:8" x14ac:dyDescent="0.2">
      <c r="A161" s="8">
        <v>46076</v>
      </c>
      <c r="B161" s="56" t="s">
        <v>76</v>
      </c>
      <c r="C161" s="11">
        <v>1475</v>
      </c>
      <c r="D161" s="9" t="s">
        <v>81</v>
      </c>
      <c r="E161" s="9" t="s">
        <v>88</v>
      </c>
      <c r="F161" s="9" t="s">
        <v>90</v>
      </c>
      <c r="G161" s="9" t="s">
        <v>7</v>
      </c>
      <c r="H161" s="32"/>
    </row>
    <row r="162" spans="1:8" x14ac:dyDescent="0.2">
      <c r="A162" s="8">
        <v>46023</v>
      </c>
      <c r="B162" s="32" t="s">
        <v>75</v>
      </c>
      <c r="C162" s="11">
        <v>-1700</v>
      </c>
      <c r="D162" s="9" t="s">
        <v>81</v>
      </c>
      <c r="E162" s="9" t="s">
        <v>88</v>
      </c>
      <c r="F162" s="9" t="s">
        <v>90</v>
      </c>
      <c r="G162" s="64"/>
      <c r="H162" s="64"/>
    </row>
    <row r="163" spans="1:8" x14ac:dyDescent="0.2">
      <c r="A163" s="8">
        <v>46054</v>
      </c>
      <c r="B163" s="32" t="s">
        <v>75</v>
      </c>
      <c r="C163" s="11">
        <v>-1700</v>
      </c>
      <c r="D163" s="9" t="s">
        <v>81</v>
      </c>
      <c r="E163" s="9" t="s">
        <v>88</v>
      </c>
      <c r="F163" s="9" t="s">
        <v>90</v>
      </c>
      <c r="G163" s="64"/>
      <c r="H163" s="64"/>
    </row>
    <row r="164" spans="1:8" x14ac:dyDescent="0.2">
      <c r="A164" s="8">
        <v>46082</v>
      </c>
      <c r="B164" s="32" t="s">
        <v>75</v>
      </c>
      <c r="C164" s="11">
        <v>-1700</v>
      </c>
      <c r="D164" s="9" t="s">
        <v>81</v>
      </c>
      <c r="E164" s="9" t="s">
        <v>88</v>
      </c>
      <c r="F164" s="9" t="s">
        <v>90</v>
      </c>
      <c r="G164" s="64"/>
      <c r="H164" s="64"/>
    </row>
  </sheetData>
  <sortState xmlns:xlrd2="http://schemas.microsoft.com/office/spreadsheetml/2017/richdata2" ref="A13:H164">
    <sortCondition ref="B12:B1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C46D-B24A-A646-97E8-D80EAA6BCECF}">
  <dimension ref="A1:H165"/>
  <sheetViews>
    <sheetView workbookViewId="0">
      <selection activeCell="D3" sqref="D3"/>
    </sheetView>
  </sheetViews>
  <sheetFormatPr baseColWidth="10" defaultRowHeight="16" x14ac:dyDescent="0.2"/>
  <cols>
    <col min="1" max="1" width="10.5" style="69" bestFit="1" customWidth="1"/>
    <col min="2" max="2" width="16.33203125" style="70" bestFit="1" customWidth="1"/>
    <col min="3" max="3" width="12.5" style="71" customWidth="1"/>
    <col min="4" max="4" width="14.1640625" style="70" bestFit="1" customWidth="1"/>
    <col min="5" max="5" width="53.33203125" style="70" bestFit="1" customWidth="1"/>
    <col min="6" max="6" width="26.6640625" style="70" bestFit="1" customWidth="1"/>
    <col min="7" max="7" width="7.5" style="70" bestFit="1" customWidth="1"/>
    <col min="8" max="8" width="54" style="70" bestFit="1" customWidth="1"/>
    <col min="9" max="16384" width="10.83203125" style="70"/>
  </cols>
  <sheetData>
    <row r="1" spans="1:8" s="1" customFormat="1" x14ac:dyDescent="0.2">
      <c r="A1" s="8">
        <v>43840</v>
      </c>
      <c r="B1" s="56" t="s">
        <v>75</v>
      </c>
      <c r="C1" s="11">
        <v>-11000</v>
      </c>
      <c r="D1" s="9" t="s">
        <v>4</v>
      </c>
      <c r="E1" s="9" t="s">
        <v>113</v>
      </c>
      <c r="F1" s="3" t="s">
        <v>97</v>
      </c>
      <c r="G1" s="32"/>
      <c r="H1" s="3"/>
    </row>
    <row r="2" spans="1:8" customFormat="1" x14ac:dyDescent="0.2">
      <c r="A2" s="8">
        <v>43850</v>
      </c>
      <c r="B2" s="56" t="s">
        <v>76</v>
      </c>
      <c r="C2" s="11">
        <v>11000</v>
      </c>
      <c r="D2" s="9" t="s">
        <v>4</v>
      </c>
      <c r="E2" s="9" t="s">
        <v>113</v>
      </c>
      <c r="F2" s="3" t="s">
        <v>97</v>
      </c>
      <c r="G2" s="32" t="s">
        <v>7</v>
      </c>
      <c r="H2" s="3"/>
    </row>
    <row r="3" spans="1:8" customFormat="1" x14ac:dyDescent="0.2">
      <c r="A3" s="8">
        <f>A1+31</f>
        <v>43871</v>
      </c>
      <c r="B3" s="56" t="s">
        <v>75</v>
      </c>
      <c r="C3" s="11">
        <v>-11000</v>
      </c>
      <c r="D3" s="9" t="s">
        <v>4</v>
      </c>
      <c r="E3" s="9" t="s">
        <v>113</v>
      </c>
      <c r="F3" s="3" t="s">
        <v>97</v>
      </c>
      <c r="G3" s="32"/>
      <c r="H3" s="3"/>
    </row>
    <row r="4" spans="1:8" customFormat="1" x14ac:dyDescent="0.2">
      <c r="A4" s="8">
        <v>43882</v>
      </c>
      <c r="B4" s="56" t="s">
        <v>76</v>
      </c>
      <c r="C4" s="11">
        <v>11000</v>
      </c>
      <c r="D4" s="9" t="s">
        <v>4</v>
      </c>
      <c r="E4" s="9" t="s">
        <v>113</v>
      </c>
      <c r="F4" s="3" t="s">
        <v>97</v>
      </c>
      <c r="G4" s="32" t="s">
        <v>7</v>
      </c>
      <c r="H4" s="3"/>
    </row>
    <row r="5" spans="1:8" customFormat="1" x14ac:dyDescent="0.2">
      <c r="A5" s="8">
        <f>A3+29</f>
        <v>43900</v>
      </c>
      <c r="B5" s="56" t="s">
        <v>75</v>
      </c>
      <c r="C5" s="11">
        <v>-11000</v>
      </c>
      <c r="D5" s="9" t="s">
        <v>4</v>
      </c>
      <c r="E5" s="9" t="s">
        <v>113</v>
      </c>
      <c r="F5" s="3" t="s">
        <v>97</v>
      </c>
      <c r="G5" s="32"/>
      <c r="H5" s="3"/>
    </row>
    <row r="6" spans="1:8" customFormat="1" x14ac:dyDescent="0.2">
      <c r="A6" s="8">
        <v>43924</v>
      </c>
      <c r="B6" s="56" t="s">
        <v>76</v>
      </c>
      <c r="C6" s="11">
        <v>5000</v>
      </c>
      <c r="D6" s="9" t="s">
        <v>4</v>
      </c>
      <c r="E6" s="9" t="s">
        <v>113</v>
      </c>
      <c r="F6" s="3" t="s">
        <v>97</v>
      </c>
      <c r="G6" s="32" t="s">
        <v>7</v>
      </c>
      <c r="H6" s="3"/>
    </row>
    <row r="7" spans="1:8" customFormat="1" x14ac:dyDescent="0.2">
      <c r="A7" s="8">
        <f>A5+31</f>
        <v>43931</v>
      </c>
      <c r="B7" s="56" t="s">
        <v>75</v>
      </c>
      <c r="C7" s="11">
        <v>-11000</v>
      </c>
      <c r="D7" s="9" t="s">
        <v>4</v>
      </c>
      <c r="E7" s="9" t="s">
        <v>113</v>
      </c>
      <c r="F7" s="3" t="s">
        <v>97</v>
      </c>
      <c r="G7" s="32"/>
      <c r="H7" s="3"/>
    </row>
    <row r="8" spans="1:8" customFormat="1" x14ac:dyDescent="0.2">
      <c r="A8" s="8">
        <v>43953</v>
      </c>
      <c r="B8" s="56" t="s">
        <v>76</v>
      </c>
      <c r="C8" s="11">
        <v>5000</v>
      </c>
      <c r="D8" s="9" t="s">
        <v>4</v>
      </c>
      <c r="E8" s="9" t="s">
        <v>113</v>
      </c>
      <c r="F8" s="3" t="s">
        <v>97</v>
      </c>
      <c r="G8" s="32" t="s">
        <v>7</v>
      </c>
      <c r="H8" s="3"/>
    </row>
    <row r="9" spans="1:8" customFormat="1" x14ac:dyDescent="0.2">
      <c r="A9" s="8">
        <f>A7+30</f>
        <v>43961</v>
      </c>
      <c r="B9" s="56" t="s">
        <v>75</v>
      </c>
      <c r="C9" s="11">
        <v>-11000</v>
      </c>
      <c r="D9" s="9" t="s">
        <v>4</v>
      </c>
      <c r="E9" s="9" t="s">
        <v>113</v>
      </c>
      <c r="F9" s="3" t="s">
        <v>97</v>
      </c>
      <c r="G9" s="32"/>
      <c r="H9" s="3"/>
    </row>
    <row r="10" spans="1:8" customFormat="1" x14ac:dyDescent="0.2">
      <c r="A10" s="8">
        <f>A9+31</f>
        <v>43992</v>
      </c>
      <c r="B10" s="56" t="s">
        <v>75</v>
      </c>
      <c r="C10" s="11">
        <v>-11000</v>
      </c>
      <c r="D10" s="9" t="s">
        <v>4</v>
      </c>
      <c r="E10" s="9" t="s">
        <v>113</v>
      </c>
      <c r="F10" s="3" t="s">
        <v>97</v>
      </c>
      <c r="G10" s="32"/>
      <c r="H10" s="3"/>
    </row>
    <row r="11" spans="1:8" customFormat="1" x14ac:dyDescent="0.2">
      <c r="A11" s="8">
        <v>43992</v>
      </c>
      <c r="B11" s="56" t="s">
        <v>76</v>
      </c>
      <c r="C11" s="11">
        <v>5000</v>
      </c>
      <c r="D11" s="9" t="s">
        <v>4</v>
      </c>
      <c r="E11" s="9" t="s">
        <v>113</v>
      </c>
      <c r="F11" s="3" t="s">
        <v>97</v>
      </c>
      <c r="G11" s="9" t="s">
        <v>6</v>
      </c>
      <c r="H11" s="3"/>
    </row>
    <row r="12" spans="1:8" customFormat="1" x14ac:dyDescent="0.2">
      <c r="A12" s="8">
        <v>44004</v>
      </c>
      <c r="B12" s="56" t="s">
        <v>77</v>
      </c>
      <c r="C12" s="11">
        <v>4000</v>
      </c>
      <c r="D12" s="9" t="s">
        <v>4</v>
      </c>
      <c r="E12" s="9" t="s">
        <v>113</v>
      </c>
      <c r="F12" s="3" t="s">
        <v>97</v>
      </c>
      <c r="G12" s="32" t="s">
        <v>7</v>
      </c>
      <c r="H12" s="3"/>
    </row>
    <row r="13" spans="1:8" customFormat="1" x14ac:dyDescent="0.2">
      <c r="A13" s="8">
        <v>44007</v>
      </c>
      <c r="B13" s="56" t="s">
        <v>76</v>
      </c>
      <c r="C13" s="11">
        <v>7000</v>
      </c>
      <c r="D13" s="9" t="s">
        <v>4</v>
      </c>
      <c r="E13" s="9" t="s">
        <v>113</v>
      </c>
      <c r="F13" s="3" t="s">
        <v>97</v>
      </c>
      <c r="G13" s="9" t="s">
        <v>6</v>
      </c>
      <c r="H13" s="3"/>
    </row>
    <row r="14" spans="1:8" customFormat="1" x14ac:dyDescent="0.2">
      <c r="A14" s="8">
        <f>A10+30</f>
        <v>44022</v>
      </c>
      <c r="B14" s="56" t="s">
        <v>75</v>
      </c>
      <c r="C14" s="11">
        <v>-11000</v>
      </c>
      <c r="D14" s="9" t="s">
        <v>4</v>
      </c>
      <c r="E14" s="9" t="s">
        <v>113</v>
      </c>
      <c r="F14" s="3" t="s">
        <v>97</v>
      </c>
      <c r="G14" s="32"/>
      <c r="H14" s="3"/>
    </row>
    <row r="15" spans="1:8" customFormat="1" x14ac:dyDescent="0.2">
      <c r="A15" s="8">
        <v>44032</v>
      </c>
      <c r="B15" s="56" t="s">
        <v>77</v>
      </c>
      <c r="C15" s="11">
        <v>4000</v>
      </c>
      <c r="D15" s="9" t="s">
        <v>4</v>
      </c>
      <c r="E15" s="9" t="s">
        <v>113</v>
      </c>
      <c r="F15" s="3" t="s">
        <v>97</v>
      </c>
      <c r="G15" s="32" t="s">
        <v>7</v>
      </c>
      <c r="H15" s="3"/>
    </row>
    <row r="16" spans="1:8" customFormat="1" x14ac:dyDescent="0.2">
      <c r="A16" s="8">
        <v>44033</v>
      </c>
      <c r="B16" s="56" t="s">
        <v>76</v>
      </c>
      <c r="C16" s="11">
        <v>7000</v>
      </c>
      <c r="D16" s="9" t="s">
        <v>4</v>
      </c>
      <c r="E16" s="9" t="s">
        <v>113</v>
      </c>
      <c r="F16" s="3" t="s">
        <v>97</v>
      </c>
      <c r="G16" s="9" t="s">
        <v>6</v>
      </c>
      <c r="H16" s="3"/>
    </row>
    <row r="17" spans="1:8" customFormat="1" x14ac:dyDescent="0.2">
      <c r="A17" s="8">
        <f>A14+31</f>
        <v>44053</v>
      </c>
      <c r="B17" s="56" t="s">
        <v>75</v>
      </c>
      <c r="C17" s="11">
        <v>-11000</v>
      </c>
      <c r="D17" s="9" t="s">
        <v>4</v>
      </c>
      <c r="E17" s="9" t="s">
        <v>113</v>
      </c>
      <c r="F17" s="3" t="s">
        <v>97</v>
      </c>
      <c r="G17" s="32"/>
      <c r="H17" s="3"/>
    </row>
    <row r="18" spans="1:8" customFormat="1" x14ac:dyDescent="0.2">
      <c r="A18" s="8">
        <v>44069</v>
      </c>
      <c r="B18" s="56" t="s">
        <v>77</v>
      </c>
      <c r="C18" s="11">
        <v>4000</v>
      </c>
      <c r="D18" s="9" t="s">
        <v>4</v>
      </c>
      <c r="E18" s="9" t="s">
        <v>113</v>
      </c>
      <c r="F18" s="3" t="s">
        <v>97</v>
      </c>
      <c r="G18" s="32" t="s">
        <v>7</v>
      </c>
      <c r="H18" s="3"/>
    </row>
    <row r="19" spans="1:8" customFormat="1" x14ac:dyDescent="0.2">
      <c r="A19" s="8">
        <v>44069</v>
      </c>
      <c r="B19" s="56" t="s">
        <v>76</v>
      </c>
      <c r="C19" s="11">
        <v>7000</v>
      </c>
      <c r="D19" s="9" t="s">
        <v>4</v>
      </c>
      <c r="E19" s="9" t="s">
        <v>113</v>
      </c>
      <c r="F19" s="3" t="s">
        <v>97</v>
      </c>
      <c r="G19" s="32" t="s">
        <v>7</v>
      </c>
      <c r="H19" s="3"/>
    </row>
    <row r="20" spans="1:8" customFormat="1" x14ac:dyDescent="0.2">
      <c r="A20" s="8">
        <f>A17+31</f>
        <v>44084</v>
      </c>
      <c r="B20" s="56" t="s">
        <v>75</v>
      </c>
      <c r="C20" s="11">
        <v>-11000</v>
      </c>
      <c r="D20" s="9" t="s">
        <v>4</v>
      </c>
      <c r="E20" s="9" t="s">
        <v>113</v>
      </c>
      <c r="F20" s="3" t="s">
        <v>97</v>
      </c>
      <c r="G20" s="32"/>
      <c r="H20" s="3"/>
    </row>
    <row r="21" spans="1:8" customFormat="1" x14ac:dyDescent="0.2">
      <c r="A21" s="8">
        <v>44104</v>
      </c>
      <c r="B21" s="56" t="s">
        <v>77</v>
      </c>
      <c r="C21" s="11">
        <v>4000</v>
      </c>
      <c r="D21" s="9" t="s">
        <v>4</v>
      </c>
      <c r="E21" s="9" t="s">
        <v>113</v>
      </c>
      <c r="F21" s="3" t="s">
        <v>97</v>
      </c>
      <c r="G21" s="32" t="s">
        <v>7</v>
      </c>
      <c r="H21" s="3"/>
    </row>
    <row r="22" spans="1:8" customFormat="1" x14ac:dyDescent="0.2">
      <c r="A22" s="8">
        <v>44111</v>
      </c>
      <c r="B22" s="56" t="s">
        <v>76</v>
      </c>
      <c r="C22" s="11">
        <v>9000</v>
      </c>
      <c r="D22" s="9" t="s">
        <v>4</v>
      </c>
      <c r="E22" s="9" t="s">
        <v>113</v>
      </c>
      <c r="F22" s="3" t="s">
        <v>97</v>
      </c>
      <c r="G22" s="9" t="s">
        <v>6</v>
      </c>
      <c r="H22" s="3"/>
    </row>
    <row r="23" spans="1:8" customFormat="1" x14ac:dyDescent="0.2">
      <c r="A23" s="8">
        <f>A20+30</f>
        <v>44114</v>
      </c>
      <c r="B23" s="56" t="s">
        <v>75</v>
      </c>
      <c r="C23" s="11">
        <v>-11000</v>
      </c>
      <c r="D23" s="9" t="s">
        <v>4</v>
      </c>
      <c r="E23" s="9" t="s">
        <v>113</v>
      </c>
      <c r="F23" s="3" t="s">
        <v>97</v>
      </c>
      <c r="G23" s="32"/>
      <c r="H23" s="3"/>
    </row>
    <row r="24" spans="1:8" customFormat="1" x14ac:dyDescent="0.2">
      <c r="A24" s="8">
        <v>44137</v>
      </c>
      <c r="B24" s="56" t="s">
        <v>77</v>
      </c>
      <c r="C24" s="11">
        <v>4000</v>
      </c>
      <c r="D24" s="9" t="s">
        <v>4</v>
      </c>
      <c r="E24" s="9" t="s">
        <v>113</v>
      </c>
      <c r="F24" s="3" t="s">
        <v>97</v>
      </c>
      <c r="G24" s="32" t="s">
        <v>7</v>
      </c>
      <c r="H24" s="3"/>
    </row>
    <row r="25" spans="1:8" customFormat="1" x14ac:dyDescent="0.2">
      <c r="A25" s="8">
        <v>44138</v>
      </c>
      <c r="B25" s="56" t="s">
        <v>76</v>
      </c>
      <c r="C25" s="11">
        <v>9000</v>
      </c>
      <c r="D25" s="9" t="s">
        <v>4</v>
      </c>
      <c r="E25" s="9" t="s">
        <v>113</v>
      </c>
      <c r="F25" s="3" t="s">
        <v>97</v>
      </c>
      <c r="G25" s="9" t="s">
        <v>6</v>
      </c>
      <c r="H25" s="3"/>
    </row>
    <row r="26" spans="1:8" customFormat="1" x14ac:dyDescent="0.2">
      <c r="A26" s="8">
        <f>A23+31</f>
        <v>44145</v>
      </c>
      <c r="B26" s="56" t="s">
        <v>75</v>
      </c>
      <c r="C26" s="11">
        <v>-11000</v>
      </c>
      <c r="D26" s="9" t="s">
        <v>4</v>
      </c>
      <c r="E26" s="9" t="s">
        <v>113</v>
      </c>
      <c r="F26" s="3" t="s">
        <v>97</v>
      </c>
      <c r="G26" s="32"/>
      <c r="H26" s="3"/>
    </row>
    <row r="27" spans="1:8" customFormat="1" x14ac:dyDescent="0.2">
      <c r="A27" s="8">
        <v>44169</v>
      </c>
      <c r="B27" s="56" t="s">
        <v>77</v>
      </c>
      <c r="C27" s="11">
        <v>4000</v>
      </c>
      <c r="D27" s="9" t="s">
        <v>4</v>
      </c>
      <c r="E27" s="9" t="s">
        <v>113</v>
      </c>
      <c r="F27" s="3" t="s">
        <v>97</v>
      </c>
      <c r="G27" s="9" t="s">
        <v>6</v>
      </c>
      <c r="H27" s="3"/>
    </row>
    <row r="28" spans="1:8" customFormat="1" x14ac:dyDescent="0.2">
      <c r="A28" s="8">
        <v>44173</v>
      </c>
      <c r="B28" s="56" t="s">
        <v>76</v>
      </c>
      <c r="C28" s="11">
        <v>9000</v>
      </c>
      <c r="D28" s="9" t="s">
        <v>4</v>
      </c>
      <c r="E28" s="9" t="s">
        <v>113</v>
      </c>
      <c r="F28" s="3" t="s">
        <v>97</v>
      </c>
      <c r="G28" s="32" t="s">
        <v>7</v>
      </c>
      <c r="H28" s="3"/>
    </row>
    <row r="29" spans="1:8" customFormat="1" x14ac:dyDescent="0.2">
      <c r="A29" s="8">
        <f>A26+30</f>
        <v>44175</v>
      </c>
      <c r="B29" s="56" t="s">
        <v>75</v>
      </c>
      <c r="C29" s="11">
        <v>-11000</v>
      </c>
      <c r="D29" s="9" t="s">
        <v>4</v>
      </c>
      <c r="E29" s="9" t="s">
        <v>113</v>
      </c>
      <c r="F29" s="3" t="s">
        <v>97</v>
      </c>
      <c r="G29" s="32"/>
      <c r="H29" s="3"/>
    </row>
    <row r="30" spans="1:8" customFormat="1" x14ac:dyDescent="0.2">
      <c r="A30" s="8">
        <v>44196</v>
      </c>
      <c r="B30" s="56" t="s">
        <v>77</v>
      </c>
      <c r="C30" s="11">
        <v>4000</v>
      </c>
      <c r="D30" s="9" t="s">
        <v>4</v>
      </c>
      <c r="E30" s="9" t="s">
        <v>113</v>
      </c>
      <c r="F30" s="3" t="s">
        <v>97</v>
      </c>
      <c r="G30" s="9" t="s">
        <v>6</v>
      </c>
      <c r="H30" s="3"/>
    </row>
    <row r="31" spans="1:8" customFormat="1" x14ac:dyDescent="0.2">
      <c r="A31" s="8">
        <v>44202</v>
      </c>
      <c r="B31" s="56" t="s">
        <v>76</v>
      </c>
      <c r="C31" s="11">
        <v>6000</v>
      </c>
      <c r="D31" s="9" t="s">
        <v>4</v>
      </c>
      <c r="E31" s="9" t="s">
        <v>113</v>
      </c>
      <c r="F31" s="3" t="s">
        <v>97</v>
      </c>
      <c r="G31" s="32" t="s">
        <v>7</v>
      </c>
      <c r="H31" s="3"/>
    </row>
    <row r="32" spans="1:8" customFormat="1" x14ac:dyDescent="0.2">
      <c r="A32" s="8">
        <f>A29+31</f>
        <v>44206</v>
      </c>
      <c r="B32" s="56" t="s">
        <v>75</v>
      </c>
      <c r="C32" s="11">
        <v>-11000</v>
      </c>
      <c r="D32" s="9" t="s">
        <v>4</v>
      </c>
      <c r="E32" s="9" t="s">
        <v>113</v>
      </c>
      <c r="F32" s="3" t="s">
        <v>97</v>
      </c>
      <c r="G32" s="32"/>
      <c r="H32" s="3"/>
    </row>
    <row r="33" spans="1:8" customFormat="1" x14ac:dyDescent="0.2">
      <c r="A33" s="8">
        <v>44225</v>
      </c>
      <c r="B33" s="56" t="s">
        <v>77</v>
      </c>
      <c r="C33" s="11">
        <v>4000</v>
      </c>
      <c r="D33" s="9" t="s">
        <v>4</v>
      </c>
      <c r="E33" s="9" t="s">
        <v>113</v>
      </c>
      <c r="F33" s="3" t="s">
        <v>97</v>
      </c>
      <c r="G33" s="9" t="s">
        <v>6</v>
      </c>
      <c r="H33" s="3"/>
    </row>
    <row r="34" spans="1:8" customFormat="1" x14ac:dyDescent="0.2">
      <c r="A34" s="8">
        <f>A32+31</f>
        <v>44237</v>
      </c>
      <c r="B34" s="56" t="s">
        <v>75</v>
      </c>
      <c r="C34" s="11">
        <v>-11000</v>
      </c>
      <c r="D34" s="9" t="s">
        <v>4</v>
      </c>
      <c r="E34" s="9" t="s">
        <v>113</v>
      </c>
      <c r="F34" s="3" t="s">
        <v>97</v>
      </c>
      <c r="G34" s="32"/>
      <c r="H34" s="3"/>
    </row>
    <row r="35" spans="1:8" customFormat="1" x14ac:dyDescent="0.2">
      <c r="A35" s="8">
        <v>44253</v>
      </c>
      <c r="B35" s="56" t="s">
        <v>77</v>
      </c>
      <c r="C35" s="11">
        <v>4000</v>
      </c>
      <c r="D35" s="9" t="s">
        <v>4</v>
      </c>
      <c r="E35" s="9" t="s">
        <v>113</v>
      </c>
      <c r="F35" s="3" t="s">
        <v>97</v>
      </c>
      <c r="G35" s="9" t="s">
        <v>6</v>
      </c>
      <c r="H35" s="3"/>
    </row>
    <row r="36" spans="1:8" customFormat="1" x14ac:dyDescent="0.2">
      <c r="A36" s="8">
        <f>A34+28</f>
        <v>44265</v>
      </c>
      <c r="B36" s="56" t="s">
        <v>75</v>
      </c>
      <c r="C36" s="11">
        <v>-11000</v>
      </c>
      <c r="D36" s="9" t="s">
        <v>4</v>
      </c>
      <c r="E36" s="9" t="s">
        <v>113</v>
      </c>
      <c r="F36" s="3" t="s">
        <v>97</v>
      </c>
      <c r="G36" s="32"/>
      <c r="H36" s="3"/>
    </row>
    <row r="37" spans="1:8" customFormat="1" x14ac:dyDescent="0.2">
      <c r="A37" s="8">
        <v>44286</v>
      </c>
      <c r="B37" s="56" t="s">
        <v>77</v>
      </c>
      <c r="C37" s="11">
        <v>4000</v>
      </c>
      <c r="D37" s="9" t="s">
        <v>4</v>
      </c>
      <c r="E37" s="9" t="s">
        <v>113</v>
      </c>
      <c r="F37" s="3" t="s">
        <v>97</v>
      </c>
      <c r="G37" s="9" t="s">
        <v>6</v>
      </c>
      <c r="H37" s="3"/>
    </row>
    <row r="38" spans="1:8" customFormat="1" x14ac:dyDescent="0.2">
      <c r="A38" s="8">
        <f>A36+31</f>
        <v>44296</v>
      </c>
      <c r="B38" s="56" t="s">
        <v>75</v>
      </c>
      <c r="C38" s="11">
        <v>-11000</v>
      </c>
      <c r="D38" s="9" t="s">
        <v>4</v>
      </c>
      <c r="E38" s="9" t="s">
        <v>113</v>
      </c>
      <c r="F38" s="3" t="s">
        <v>97</v>
      </c>
      <c r="G38" s="32"/>
      <c r="H38" s="3"/>
    </row>
    <row r="39" spans="1:8" customFormat="1" x14ac:dyDescent="0.2">
      <c r="A39" s="8">
        <v>44301</v>
      </c>
      <c r="B39" s="56" t="s">
        <v>76</v>
      </c>
      <c r="C39" s="11">
        <v>14000</v>
      </c>
      <c r="D39" s="9" t="s">
        <v>4</v>
      </c>
      <c r="E39" s="9" t="s">
        <v>113</v>
      </c>
      <c r="F39" s="3" t="s">
        <v>97</v>
      </c>
      <c r="G39" s="32" t="s">
        <v>7</v>
      </c>
      <c r="H39" s="3"/>
    </row>
    <row r="40" spans="1:8" customFormat="1" x14ac:dyDescent="0.2">
      <c r="A40" s="8">
        <v>44315</v>
      </c>
      <c r="B40" s="56" t="s">
        <v>77</v>
      </c>
      <c r="C40" s="11">
        <v>4000</v>
      </c>
      <c r="D40" s="9" t="s">
        <v>4</v>
      </c>
      <c r="E40" s="9" t="s">
        <v>113</v>
      </c>
      <c r="F40" s="3" t="s">
        <v>97</v>
      </c>
      <c r="G40" s="9" t="s">
        <v>6</v>
      </c>
      <c r="H40" s="3"/>
    </row>
    <row r="41" spans="1:8" customFormat="1" x14ac:dyDescent="0.2">
      <c r="A41" s="8">
        <f>A38+30</f>
        <v>44326</v>
      </c>
      <c r="B41" s="56" t="s">
        <v>75</v>
      </c>
      <c r="C41" s="11">
        <v>-11000</v>
      </c>
      <c r="D41" s="9" t="s">
        <v>4</v>
      </c>
      <c r="E41" s="9" t="s">
        <v>113</v>
      </c>
      <c r="F41" s="3" t="s">
        <v>97</v>
      </c>
      <c r="G41" s="32"/>
      <c r="H41" s="3"/>
    </row>
    <row r="42" spans="1:8" customFormat="1" x14ac:dyDescent="0.2">
      <c r="A42" s="8">
        <v>44347</v>
      </c>
      <c r="B42" s="56" t="s">
        <v>77</v>
      </c>
      <c r="C42" s="11">
        <v>4000</v>
      </c>
      <c r="D42" s="9" t="s">
        <v>4</v>
      </c>
      <c r="E42" s="9" t="s">
        <v>113</v>
      </c>
      <c r="F42" s="3" t="s">
        <v>97</v>
      </c>
      <c r="G42" s="9" t="s">
        <v>6</v>
      </c>
      <c r="H42" s="3"/>
    </row>
    <row r="43" spans="1:8" customFormat="1" x14ac:dyDescent="0.2">
      <c r="A43" s="8">
        <f>A41+31</f>
        <v>44357</v>
      </c>
      <c r="B43" s="56" t="s">
        <v>75</v>
      </c>
      <c r="C43" s="11">
        <v>-11000</v>
      </c>
      <c r="D43" s="9" t="s">
        <v>4</v>
      </c>
      <c r="E43" s="9" t="s">
        <v>113</v>
      </c>
      <c r="F43" s="3" t="s">
        <v>97</v>
      </c>
      <c r="G43" s="32"/>
      <c r="H43" s="3"/>
    </row>
    <row r="44" spans="1:8" customFormat="1" x14ac:dyDescent="0.2">
      <c r="A44" s="8">
        <v>44377</v>
      </c>
      <c r="B44" s="56" t="s">
        <v>77</v>
      </c>
      <c r="C44" s="11">
        <v>4000</v>
      </c>
      <c r="D44" s="9" t="s">
        <v>4</v>
      </c>
      <c r="E44" s="9" t="s">
        <v>113</v>
      </c>
      <c r="F44" s="3" t="s">
        <v>97</v>
      </c>
      <c r="G44" s="9" t="s">
        <v>6</v>
      </c>
      <c r="H44" s="3"/>
    </row>
    <row r="45" spans="1:8" customFormat="1" x14ac:dyDescent="0.2">
      <c r="A45" s="8">
        <v>44384</v>
      </c>
      <c r="B45" s="56" t="s">
        <v>76</v>
      </c>
      <c r="C45" s="11">
        <v>15000</v>
      </c>
      <c r="D45" s="9" t="s">
        <v>4</v>
      </c>
      <c r="E45" s="9" t="s">
        <v>113</v>
      </c>
      <c r="F45" s="3" t="s">
        <v>97</v>
      </c>
      <c r="G45" s="3" t="s">
        <v>7</v>
      </c>
      <c r="H45" s="3"/>
    </row>
    <row r="46" spans="1:8" customFormat="1" x14ac:dyDescent="0.2">
      <c r="A46" s="8">
        <f>A43+30</f>
        <v>44387</v>
      </c>
      <c r="B46" s="56" t="s">
        <v>75</v>
      </c>
      <c r="C46" s="11">
        <v>-11000</v>
      </c>
      <c r="D46" s="9" t="s">
        <v>4</v>
      </c>
      <c r="E46" s="9" t="s">
        <v>113</v>
      </c>
      <c r="F46" s="3" t="s">
        <v>97</v>
      </c>
      <c r="G46" s="3"/>
      <c r="H46" s="3"/>
    </row>
    <row r="47" spans="1:8" customFormat="1" x14ac:dyDescent="0.2">
      <c r="A47" s="8">
        <v>44407</v>
      </c>
      <c r="B47" s="56" t="s">
        <v>77</v>
      </c>
      <c r="C47" s="11">
        <v>4000</v>
      </c>
      <c r="D47" s="9" t="s">
        <v>4</v>
      </c>
      <c r="E47" s="9" t="s">
        <v>113</v>
      </c>
      <c r="F47" s="3" t="s">
        <v>97</v>
      </c>
      <c r="G47" s="3" t="s">
        <v>6</v>
      </c>
      <c r="H47" s="3"/>
    </row>
    <row r="48" spans="1:8" customFormat="1" x14ac:dyDescent="0.2">
      <c r="A48" s="8">
        <v>44414</v>
      </c>
      <c r="B48" s="56" t="s">
        <v>76</v>
      </c>
      <c r="C48" s="11">
        <v>15000</v>
      </c>
      <c r="D48" s="9" t="s">
        <v>4</v>
      </c>
      <c r="E48" s="9" t="s">
        <v>113</v>
      </c>
      <c r="F48" s="3" t="s">
        <v>97</v>
      </c>
      <c r="G48" s="3" t="s">
        <v>6</v>
      </c>
      <c r="H48" s="3" t="s">
        <v>109</v>
      </c>
    </row>
    <row r="49" spans="1:8" customFormat="1" x14ac:dyDescent="0.2">
      <c r="A49" s="8">
        <f>A46+31</f>
        <v>44418</v>
      </c>
      <c r="B49" s="56" t="s">
        <v>75</v>
      </c>
      <c r="C49" s="11">
        <v>-11000</v>
      </c>
      <c r="D49" s="9" t="s">
        <v>4</v>
      </c>
      <c r="E49" s="9" t="s">
        <v>113</v>
      </c>
      <c r="F49" s="3" t="s">
        <v>97</v>
      </c>
      <c r="G49" s="3"/>
      <c r="H49" s="3"/>
    </row>
    <row r="50" spans="1:8" customFormat="1" x14ac:dyDescent="0.2">
      <c r="A50" s="8">
        <v>44439</v>
      </c>
      <c r="B50" s="56" t="s">
        <v>77</v>
      </c>
      <c r="C50" s="11">
        <v>4000</v>
      </c>
      <c r="D50" s="9" t="s">
        <v>4</v>
      </c>
      <c r="E50" s="9" t="s">
        <v>113</v>
      </c>
      <c r="F50" s="3" t="s">
        <v>97</v>
      </c>
      <c r="G50" s="3" t="s">
        <v>6</v>
      </c>
      <c r="H50" s="3"/>
    </row>
    <row r="51" spans="1:8" customFormat="1" x14ac:dyDescent="0.2">
      <c r="A51" s="8">
        <v>44446</v>
      </c>
      <c r="B51" s="56" t="s">
        <v>76</v>
      </c>
      <c r="C51" s="11">
        <v>16000</v>
      </c>
      <c r="D51" s="9" t="s">
        <v>4</v>
      </c>
      <c r="E51" s="9" t="s">
        <v>113</v>
      </c>
      <c r="F51" s="3" t="s">
        <v>97</v>
      </c>
      <c r="G51" s="3" t="s">
        <v>6</v>
      </c>
      <c r="H51" s="3" t="s">
        <v>110</v>
      </c>
    </row>
    <row r="52" spans="1:8" customFormat="1" x14ac:dyDescent="0.2">
      <c r="A52" s="8">
        <f>A49+31</f>
        <v>44449</v>
      </c>
      <c r="B52" s="56" t="s">
        <v>75</v>
      </c>
      <c r="C52" s="11">
        <v>-11000</v>
      </c>
      <c r="D52" s="9" t="s">
        <v>4</v>
      </c>
      <c r="E52" s="9" t="s">
        <v>113</v>
      </c>
      <c r="F52" s="3" t="s">
        <v>97</v>
      </c>
      <c r="G52" s="3"/>
      <c r="H52" s="3"/>
    </row>
    <row r="53" spans="1:8" customFormat="1" x14ac:dyDescent="0.2">
      <c r="A53" s="8">
        <v>44468</v>
      </c>
      <c r="B53" s="56" t="s">
        <v>77</v>
      </c>
      <c r="C53" s="11">
        <v>4000</v>
      </c>
      <c r="D53" s="9" t="s">
        <v>4</v>
      </c>
      <c r="E53" s="9" t="s">
        <v>113</v>
      </c>
      <c r="F53" s="3" t="s">
        <v>97</v>
      </c>
      <c r="G53" s="3" t="s">
        <v>6</v>
      </c>
      <c r="H53" s="3"/>
    </row>
    <row r="54" spans="1:8" customFormat="1" x14ac:dyDescent="0.2">
      <c r="A54" s="8">
        <v>44468</v>
      </c>
      <c r="B54" s="56" t="s">
        <v>76</v>
      </c>
      <c r="C54" s="11">
        <v>16000</v>
      </c>
      <c r="D54" s="9" t="s">
        <v>4</v>
      </c>
      <c r="E54" s="9" t="s">
        <v>113</v>
      </c>
      <c r="F54" s="3" t="s">
        <v>97</v>
      </c>
      <c r="G54" s="59" t="s">
        <v>7</v>
      </c>
      <c r="H54" s="3" t="s">
        <v>110</v>
      </c>
    </row>
    <row r="55" spans="1:8" customFormat="1" x14ac:dyDescent="0.2">
      <c r="A55" s="8">
        <f>A52+30</f>
        <v>44479</v>
      </c>
      <c r="B55" s="56" t="s">
        <v>75</v>
      </c>
      <c r="C55" s="11">
        <v>-11000</v>
      </c>
      <c r="D55" s="9" t="s">
        <v>4</v>
      </c>
      <c r="E55" s="9" t="s">
        <v>113</v>
      </c>
      <c r="F55" s="3" t="s">
        <v>97</v>
      </c>
      <c r="G55" s="3"/>
      <c r="H55" s="3"/>
    </row>
    <row r="56" spans="1:8" customFormat="1" x14ac:dyDescent="0.2">
      <c r="A56" s="8">
        <v>44502</v>
      </c>
      <c r="B56" s="56" t="s">
        <v>77</v>
      </c>
      <c r="C56" s="11">
        <v>4000</v>
      </c>
      <c r="D56" s="9" t="s">
        <v>4</v>
      </c>
      <c r="E56" s="9" t="s">
        <v>113</v>
      </c>
      <c r="F56" s="3" t="s">
        <v>97</v>
      </c>
      <c r="G56" s="3" t="s">
        <v>6</v>
      </c>
      <c r="H56" s="3"/>
    </row>
    <row r="57" spans="1:8" customFormat="1" x14ac:dyDescent="0.2">
      <c r="A57" s="8">
        <v>44503</v>
      </c>
      <c r="B57" s="56" t="s">
        <v>76</v>
      </c>
      <c r="C57" s="11">
        <v>7000</v>
      </c>
      <c r="D57" s="9" t="s">
        <v>4</v>
      </c>
      <c r="E57" s="9" t="s">
        <v>113</v>
      </c>
      <c r="F57" s="3" t="s">
        <v>97</v>
      </c>
      <c r="G57" s="3" t="s">
        <v>7</v>
      </c>
      <c r="H57" s="3"/>
    </row>
    <row r="58" spans="1:8" customFormat="1" x14ac:dyDescent="0.2">
      <c r="A58" s="8">
        <f>A55+31</f>
        <v>44510</v>
      </c>
      <c r="B58" s="56" t="s">
        <v>75</v>
      </c>
      <c r="C58" s="11">
        <v>-11000</v>
      </c>
      <c r="D58" s="9" t="s">
        <v>4</v>
      </c>
      <c r="E58" s="9" t="s">
        <v>113</v>
      </c>
      <c r="F58" s="3" t="s">
        <v>97</v>
      </c>
      <c r="G58" s="3"/>
      <c r="H58" s="3"/>
    </row>
    <row r="59" spans="1:8" customFormat="1" x14ac:dyDescent="0.2">
      <c r="A59" s="8">
        <v>44530</v>
      </c>
      <c r="B59" s="56" t="s">
        <v>77</v>
      </c>
      <c r="C59" s="11">
        <v>4000</v>
      </c>
      <c r="D59" s="9" t="s">
        <v>4</v>
      </c>
      <c r="E59" s="9" t="s">
        <v>113</v>
      </c>
      <c r="F59" s="3" t="s">
        <v>97</v>
      </c>
      <c r="G59" s="3" t="s">
        <v>6</v>
      </c>
      <c r="H59" s="3"/>
    </row>
    <row r="60" spans="1:8" customFormat="1" x14ac:dyDescent="0.2">
      <c r="A60" s="8">
        <v>44537</v>
      </c>
      <c r="B60" s="56" t="s">
        <v>76</v>
      </c>
      <c r="C60" s="11">
        <v>7000</v>
      </c>
      <c r="D60" s="9" t="s">
        <v>4</v>
      </c>
      <c r="E60" s="9" t="s">
        <v>113</v>
      </c>
      <c r="F60" s="3" t="s">
        <v>97</v>
      </c>
      <c r="G60" s="3" t="s">
        <v>7</v>
      </c>
      <c r="H60" s="3"/>
    </row>
    <row r="61" spans="1:8" customFormat="1" x14ac:dyDescent="0.2">
      <c r="A61" s="8">
        <f>A58+30</f>
        <v>44540</v>
      </c>
      <c r="B61" s="56" t="s">
        <v>75</v>
      </c>
      <c r="C61" s="11">
        <v>-11000</v>
      </c>
      <c r="D61" s="9" t="s">
        <v>4</v>
      </c>
      <c r="E61" s="9" t="s">
        <v>113</v>
      </c>
      <c r="F61" s="3" t="s">
        <v>97</v>
      </c>
      <c r="G61" s="3"/>
      <c r="H61" s="3"/>
    </row>
    <row r="62" spans="1:8" customFormat="1" x14ac:dyDescent="0.2">
      <c r="A62" s="8">
        <v>44560</v>
      </c>
      <c r="B62" s="56" t="s">
        <v>77</v>
      </c>
      <c r="C62" s="11">
        <v>4000</v>
      </c>
      <c r="D62" s="9" t="s">
        <v>4</v>
      </c>
      <c r="E62" s="9" t="s">
        <v>113</v>
      </c>
      <c r="F62" s="3" t="s">
        <v>97</v>
      </c>
      <c r="G62" s="3" t="s">
        <v>6</v>
      </c>
      <c r="H62" s="3"/>
    </row>
    <row r="63" spans="1:8" customFormat="1" x14ac:dyDescent="0.2">
      <c r="A63" s="8">
        <v>44564</v>
      </c>
      <c r="B63" s="56" t="s">
        <v>76</v>
      </c>
      <c r="C63" s="11">
        <v>7000</v>
      </c>
      <c r="D63" s="9" t="s">
        <v>4</v>
      </c>
      <c r="E63" s="9" t="s">
        <v>113</v>
      </c>
      <c r="F63" s="3" t="s">
        <v>97</v>
      </c>
      <c r="G63" s="3" t="s">
        <v>7</v>
      </c>
      <c r="H63" s="3"/>
    </row>
    <row r="64" spans="1:8" s="1" customFormat="1" x14ac:dyDescent="0.2">
      <c r="A64" s="8">
        <v>44571</v>
      </c>
      <c r="B64" s="56" t="s">
        <v>75</v>
      </c>
      <c r="C64" s="11">
        <v>-15000</v>
      </c>
      <c r="D64" s="9" t="s">
        <v>4</v>
      </c>
      <c r="E64" s="9" t="s">
        <v>113</v>
      </c>
      <c r="F64" s="3" t="s">
        <v>97</v>
      </c>
      <c r="G64" s="3"/>
      <c r="H64" s="3"/>
    </row>
    <row r="65" spans="1:8" customFormat="1" x14ac:dyDescent="0.2">
      <c r="A65" s="8">
        <v>44589</v>
      </c>
      <c r="B65" s="56" t="s">
        <v>77</v>
      </c>
      <c r="C65" s="11">
        <v>4000</v>
      </c>
      <c r="D65" s="9" t="s">
        <v>4</v>
      </c>
      <c r="E65" s="9" t="s">
        <v>113</v>
      </c>
      <c r="F65" s="3" t="s">
        <v>97</v>
      </c>
      <c r="G65" s="3" t="s">
        <v>6</v>
      </c>
      <c r="H65" s="3"/>
    </row>
    <row r="66" spans="1:8" customFormat="1" x14ac:dyDescent="0.2">
      <c r="A66" s="8">
        <v>44599</v>
      </c>
      <c r="B66" s="56" t="s">
        <v>76</v>
      </c>
      <c r="C66" s="11">
        <v>11000</v>
      </c>
      <c r="D66" s="9" t="s">
        <v>4</v>
      </c>
      <c r="E66" s="9" t="s">
        <v>113</v>
      </c>
      <c r="F66" s="3" t="s">
        <v>97</v>
      </c>
      <c r="G66" s="3" t="s">
        <v>6</v>
      </c>
      <c r="H66" s="3"/>
    </row>
    <row r="67" spans="1:8" customFormat="1" x14ac:dyDescent="0.2">
      <c r="A67" s="8">
        <v>44602</v>
      </c>
      <c r="B67" s="56" t="s">
        <v>75</v>
      </c>
      <c r="C67" s="11">
        <v>-15000</v>
      </c>
      <c r="D67" s="9" t="s">
        <v>4</v>
      </c>
      <c r="E67" s="9" t="s">
        <v>113</v>
      </c>
      <c r="F67" s="3" t="s">
        <v>97</v>
      </c>
      <c r="G67" s="3"/>
      <c r="H67" s="3"/>
    </row>
    <row r="68" spans="1:8" customFormat="1" x14ac:dyDescent="0.2">
      <c r="A68" s="8">
        <v>44620</v>
      </c>
      <c r="B68" s="56" t="s">
        <v>77</v>
      </c>
      <c r="C68" s="11">
        <v>4000</v>
      </c>
      <c r="D68" s="9" t="s">
        <v>4</v>
      </c>
      <c r="E68" s="9" t="s">
        <v>113</v>
      </c>
      <c r="F68" s="3" t="s">
        <v>97</v>
      </c>
      <c r="G68" s="3" t="s">
        <v>6</v>
      </c>
      <c r="H68" s="3"/>
    </row>
    <row r="69" spans="1:8" customFormat="1" x14ac:dyDescent="0.2">
      <c r="A69" s="8">
        <v>44630</v>
      </c>
      <c r="B69" s="56" t="s">
        <v>75</v>
      </c>
      <c r="C69" s="11">
        <v>-15000</v>
      </c>
      <c r="D69" s="9" t="s">
        <v>4</v>
      </c>
      <c r="E69" s="9" t="s">
        <v>113</v>
      </c>
      <c r="F69" s="3" t="s">
        <v>97</v>
      </c>
      <c r="G69" s="3"/>
      <c r="H69" s="3"/>
    </row>
    <row r="70" spans="1:8" customFormat="1" x14ac:dyDescent="0.2">
      <c r="A70" s="8">
        <v>44638</v>
      </c>
      <c r="B70" s="56" t="s">
        <v>76</v>
      </c>
      <c r="C70" s="11">
        <v>22000</v>
      </c>
      <c r="D70" s="9" t="s">
        <v>4</v>
      </c>
      <c r="E70" s="9" t="s">
        <v>113</v>
      </c>
      <c r="F70" s="3" t="s">
        <v>97</v>
      </c>
      <c r="G70" s="3" t="s">
        <v>7</v>
      </c>
      <c r="H70" s="3"/>
    </row>
    <row r="71" spans="1:8" customFormat="1" x14ac:dyDescent="0.2">
      <c r="A71" s="8">
        <v>44651</v>
      </c>
      <c r="B71" s="56" t="s">
        <v>77</v>
      </c>
      <c r="C71" s="11">
        <v>4000</v>
      </c>
      <c r="D71" s="9" t="s">
        <v>4</v>
      </c>
      <c r="E71" s="9" t="s">
        <v>113</v>
      </c>
      <c r="F71" s="3" t="s">
        <v>97</v>
      </c>
      <c r="G71" s="3" t="s">
        <v>6</v>
      </c>
      <c r="H71" s="3"/>
    </row>
    <row r="72" spans="1:8" customFormat="1" x14ac:dyDescent="0.2">
      <c r="A72" s="8">
        <v>44661</v>
      </c>
      <c r="B72" s="56" t="s">
        <v>75</v>
      </c>
      <c r="C72" s="11">
        <v>-15000</v>
      </c>
      <c r="D72" s="9" t="s">
        <v>4</v>
      </c>
      <c r="E72" s="9" t="s">
        <v>113</v>
      </c>
      <c r="F72" s="3" t="s">
        <v>97</v>
      </c>
      <c r="G72" s="3"/>
      <c r="H72" s="3"/>
    </row>
    <row r="73" spans="1:8" customFormat="1" x14ac:dyDescent="0.2">
      <c r="A73" s="8">
        <v>44675</v>
      </c>
      <c r="B73" s="56" t="s">
        <v>77</v>
      </c>
      <c r="C73" s="11">
        <v>4000</v>
      </c>
      <c r="D73" s="9" t="s">
        <v>4</v>
      </c>
      <c r="E73" s="9" t="s">
        <v>113</v>
      </c>
      <c r="F73" s="3" t="s">
        <v>97</v>
      </c>
      <c r="G73" s="3" t="s">
        <v>6</v>
      </c>
      <c r="H73" s="3"/>
    </row>
    <row r="74" spans="1:8" customFormat="1" x14ac:dyDescent="0.2">
      <c r="A74" s="8">
        <v>44676</v>
      </c>
      <c r="B74" s="56" t="s">
        <v>76</v>
      </c>
      <c r="C74" s="11">
        <v>11000</v>
      </c>
      <c r="D74" s="9" t="s">
        <v>4</v>
      </c>
      <c r="E74" s="9" t="s">
        <v>113</v>
      </c>
      <c r="F74" s="3" t="s">
        <v>97</v>
      </c>
      <c r="G74" s="3" t="s">
        <v>7</v>
      </c>
      <c r="H74" s="3"/>
    </row>
    <row r="75" spans="1:8" customFormat="1" x14ac:dyDescent="0.2">
      <c r="A75" s="8">
        <v>44691</v>
      </c>
      <c r="B75" s="56" t="s">
        <v>75</v>
      </c>
      <c r="C75" s="11">
        <v>-15000</v>
      </c>
      <c r="D75" s="9" t="s">
        <v>4</v>
      </c>
      <c r="E75" s="9" t="s">
        <v>113</v>
      </c>
      <c r="F75" s="3" t="s">
        <v>97</v>
      </c>
      <c r="G75" s="3"/>
      <c r="H75" s="3"/>
    </row>
    <row r="76" spans="1:8" customFormat="1" x14ac:dyDescent="0.2">
      <c r="A76" s="8">
        <v>44711</v>
      </c>
      <c r="B76" s="56" t="s">
        <v>77</v>
      </c>
      <c r="C76" s="11">
        <v>4000</v>
      </c>
      <c r="D76" s="9" t="s">
        <v>4</v>
      </c>
      <c r="E76" s="9" t="s">
        <v>113</v>
      </c>
      <c r="F76" s="3" t="s">
        <v>97</v>
      </c>
      <c r="G76" s="3" t="s">
        <v>6</v>
      </c>
      <c r="H76" s="3"/>
    </row>
    <row r="77" spans="1:8" customFormat="1" x14ac:dyDescent="0.2">
      <c r="A77" s="8">
        <v>44714</v>
      </c>
      <c r="B77" s="56" t="s">
        <v>76</v>
      </c>
      <c r="C77" s="11">
        <v>11000</v>
      </c>
      <c r="D77" s="9" t="s">
        <v>4</v>
      </c>
      <c r="E77" s="9" t="s">
        <v>113</v>
      </c>
      <c r="F77" s="3" t="s">
        <v>97</v>
      </c>
      <c r="G77" s="3" t="s">
        <v>7</v>
      </c>
      <c r="H77" s="3"/>
    </row>
    <row r="78" spans="1:8" customFormat="1" x14ac:dyDescent="0.2">
      <c r="A78" s="8">
        <v>44722</v>
      </c>
      <c r="B78" s="56" t="s">
        <v>75</v>
      </c>
      <c r="C78" s="11">
        <v>-15000</v>
      </c>
      <c r="D78" s="9" t="s">
        <v>4</v>
      </c>
      <c r="E78" s="9" t="s">
        <v>113</v>
      </c>
      <c r="F78" s="3" t="s">
        <v>97</v>
      </c>
      <c r="G78" s="3"/>
      <c r="H78" s="3"/>
    </row>
    <row r="79" spans="1:8" customFormat="1" x14ac:dyDescent="0.2">
      <c r="A79" s="8">
        <v>44735</v>
      </c>
      <c r="B79" s="56" t="s">
        <v>77</v>
      </c>
      <c r="C79" s="11">
        <v>4000</v>
      </c>
      <c r="D79" s="9" t="s">
        <v>4</v>
      </c>
      <c r="E79" s="9" t="s">
        <v>113</v>
      </c>
      <c r="F79" s="3" t="s">
        <v>97</v>
      </c>
      <c r="G79" s="3" t="s">
        <v>6</v>
      </c>
      <c r="H79" s="3"/>
    </row>
    <row r="80" spans="1:8" customFormat="1" x14ac:dyDescent="0.2">
      <c r="A80" s="8">
        <v>44740</v>
      </c>
      <c r="B80" s="56" t="s">
        <v>76</v>
      </c>
      <c r="C80" s="11">
        <v>11000</v>
      </c>
      <c r="D80" s="9" t="s">
        <v>4</v>
      </c>
      <c r="E80" s="9" t="s">
        <v>113</v>
      </c>
      <c r="F80" s="3" t="s">
        <v>97</v>
      </c>
      <c r="G80" s="3" t="s">
        <v>7</v>
      </c>
      <c r="H80" s="3"/>
    </row>
    <row r="81" spans="1:8" customFormat="1" x14ac:dyDescent="0.2">
      <c r="A81" s="8">
        <v>44752</v>
      </c>
      <c r="B81" s="56" t="s">
        <v>75</v>
      </c>
      <c r="C81" s="11">
        <v>-15000</v>
      </c>
      <c r="D81" s="9" t="s">
        <v>4</v>
      </c>
      <c r="E81" s="9" t="s">
        <v>113</v>
      </c>
      <c r="F81" s="3" t="s">
        <v>97</v>
      </c>
      <c r="G81" s="3"/>
      <c r="H81" s="3"/>
    </row>
    <row r="82" spans="1:8" customFormat="1" x14ac:dyDescent="0.2">
      <c r="A82" s="8">
        <v>44768</v>
      </c>
      <c r="B82" s="56" t="s">
        <v>77</v>
      </c>
      <c r="C82" s="11">
        <v>4000</v>
      </c>
      <c r="D82" s="9" t="s">
        <v>4</v>
      </c>
      <c r="E82" s="9" t="s">
        <v>113</v>
      </c>
      <c r="F82" s="3" t="s">
        <v>97</v>
      </c>
      <c r="G82" s="3" t="s">
        <v>6</v>
      </c>
      <c r="H82" s="3"/>
    </row>
    <row r="83" spans="1:8" customFormat="1" x14ac:dyDescent="0.2">
      <c r="A83" s="8">
        <v>44768</v>
      </c>
      <c r="B83" s="56" t="s">
        <v>76</v>
      </c>
      <c r="C83" s="11">
        <v>11000</v>
      </c>
      <c r="D83" s="9" t="s">
        <v>4</v>
      </c>
      <c r="E83" s="9" t="s">
        <v>113</v>
      </c>
      <c r="F83" s="3" t="s">
        <v>97</v>
      </c>
      <c r="G83" s="3" t="s">
        <v>7</v>
      </c>
      <c r="H83" s="3"/>
    </row>
    <row r="84" spans="1:8" customFormat="1" x14ac:dyDescent="0.2">
      <c r="A84" s="8">
        <v>44783</v>
      </c>
      <c r="B84" s="56" t="s">
        <v>75</v>
      </c>
      <c r="C84" s="11">
        <v>-15000</v>
      </c>
      <c r="D84" s="9" t="s">
        <v>4</v>
      </c>
      <c r="E84" s="9" t="s">
        <v>113</v>
      </c>
      <c r="F84" s="3" t="s">
        <v>97</v>
      </c>
      <c r="G84" s="3"/>
      <c r="H84" s="3"/>
    </row>
    <row r="85" spans="1:8" customFormat="1" x14ac:dyDescent="0.2">
      <c r="A85" s="8">
        <v>44802</v>
      </c>
      <c r="B85" s="56" t="s">
        <v>77</v>
      </c>
      <c r="C85" s="11">
        <v>4000</v>
      </c>
      <c r="D85" s="9" t="s">
        <v>4</v>
      </c>
      <c r="E85" s="9" t="s">
        <v>113</v>
      </c>
      <c r="F85" s="3" t="s">
        <v>97</v>
      </c>
      <c r="G85" s="3" t="s">
        <v>6</v>
      </c>
      <c r="H85" s="3"/>
    </row>
    <row r="86" spans="1:8" customFormat="1" x14ac:dyDescent="0.2">
      <c r="A86" s="8">
        <v>44811</v>
      </c>
      <c r="B86" s="56" t="s">
        <v>76</v>
      </c>
      <c r="C86" s="11">
        <v>11000</v>
      </c>
      <c r="D86" s="9" t="s">
        <v>4</v>
      </c>
      <c r="E86" s="9" t="s">
        <v>113</v>
      </c>
      <c r="F86" s="3" t="s">
        <v>97</v>
      </c>
      <c r="G86" s="3" t="s">
        <v>7</v>
      </c>
      <c r="H86" s="3"/>
    </row>
    <row r="87" spans="1:8" customFormat="1" x14ac:dyDescent="0.2">
      <c r="A87" s="8">
        <v>44814</v>
      </c>
      <c r="B87" s="56" t="s">
        <v>75</v>
      </c>
      <c r="C87" s="11">
        <v>-15000</v>
      </c>
      <c r="D87" s="9" t="s">
        <v>4</v>
      </c>
      <c r="E87" s="9" t="s">
        <v>113</v>
      </c>
      <c r="F87" s="3" t="s">
        <v>97</v>
      </c>
      <c r="G87" s="3"/>
      <c r="H87" s="3"/>
    </row>
    <row r="88" spans="1:8" customFormat="1" x14ac:dyDescent="0.2">
      <c r="A88" s="8">
        <v>44831</v>
      </c>
      <c r="B88" s="56" t="s">
        <v>77</v>
      </c>
      <c r="C88" s="11">
        <v>4000</v>
      </c>
      <c r="D88" s="9" t="s">
        <v>4</v>
      </c>
      <c r="E88" s="9" t="s">
        <v>113</v>
      </c>
      <c r="F88" s="3" t="s">
        <v>97</v>
      </c>
      <c r="G88" s="3" t="s">
        <v>6</v>
      </c>
      <c r="H88" s="3"/>
    </row>
    <row r="89" spans="1:8" customFormat="1" x14ac:dyDescent="0.2">
      <c r="A89" s="8">
        <v>44831</v>
      </c>
      <c r="B89" s="56" t="s">
        <v>76</v>
      </c>
      <c r="C89" s="11">
        <v>11000</v>
      </c>
      <c r="D89" s="9" t="s">
        <v>4</v>
      </c>
      <c r="E89" s="9" t="s">
        <v>113</v>
      </c>
      <c r="F89" s="3" t="s">
        <v>97</v>
      </c>
      <c r="G89" s="3" t="s">
        <v>7</v>
      </c>
      <c r="H89" s="3"/>
    </row>
    <row r="90" spans="1:8" s="1" customFormat="1" x14ac:dyDescent="0.2">
      <c r="A90" s="8">
        <v>44854</v>
      </c>
      <c r="B90" s="56" t="s">
        <v>75</v>
      </c>
      <c r="C90" s="11">
        <v>-27000</v>
      </c>
      <c r="D90" s="9" t="s">
        <v>4</v>
      </c>
      <c r="E90" s="9" t="s">
        <v>113</v>
      </c>
      <c r="F90" s="3" t="s">
        <v>97</v>
      </c>
      <c r="G90" s="3"/>
      <c r="H90" s="68" t="s">
        <v>74</v>
      </c>
    </row>
    <row r="91" spans="1:8" customFormat="1" x14ac:dyDescent="0.2">
      <c r="A91" s="8">
        <v>44881</v>
      </c>
      <c r="B91" s="56" t="s">
        <v>77</v>
      </c>
      <c r="C91" s="11">
        <v>4000</v>
      </c>
      <c r="D91" s="9" t="s">
        <v>4</v>
      </c>
      <c r="E91" s="9" t="s">
        <v>113</v>
      </c>
      <c r="F91" s="3" t="s">
        <v>97</v>
      </c>
      <c r="G91" s="3" t="s">
        <v>6</v>
      </c>
      <c r="H91" s="3" t="s">
        <v>111</v>
      </c>
    </row>
    <row r="92" spans="1:8" customFormat="1" x14ac:dyDescent="0.2">
      <c r="A92" s="8">
        <v>44887</v>
      </c>
      <c r="B92" s="56" t="s">
        <v>76</v>
      </c>
      <c r="C92" s="11">
        <v>11000</v>
      </c>
      <c r="D92" s="9" t="s">
        <v>4</v>
      </c>
      <c r="E92" s="9" t="s">
        <v>113</v>
      </c>
      <c r="F92" s="3" t="s">
        <v>97</v>
      </c>
      <c r="G92" s="3" t="s">
        <v>6</v>
      </c>
      <c r="H92" s="3" t="s">
        <v>112</v>
      </c>
    </row>
    <row r="93" spans="1:8" customFormat="1" x14ac:dyDescent="0.2">
      <c r="A93" s="8">
        <v>44885</v>
      </c>
      <c r="B93" s="56" t="s">
        <v>75</v>
      </c>
      <c r="C93" s="11">
        <v>-27000</v>
      </c>
      <c r="D93" s="9" t="s">
        <v>4</v>
      </c>
      <c r="E93" s="9" t="s">
        <v>113</v>
      </c>
      <c r="F93" s="3" t="s">
        <v>97</v>
      </c>
      <c r="G93" s="3"/>
      <c r="H93" s="3"/>
    </row>
    <row r="94" spans="1:8" customFormat="1" x14ac:dyDescent="0.2">
      <c r="A94" s="8">
        <v>44896</v>
      </c>
      <c r="B94" s="56" t="s">
        <v>77</v>
      </c>
      <c r="C94" s="11">
        <v>4000</v>
      </c>
      <c r="D94" s="9" t="s">
        <v>4</v>
      </c>
      <c r="E94" s="9" t="s">
        <v>113</v>
      </c>
      <c r="F94" s="3" t="s">
        <v>97</v>
      </c>
      <c r="G94" s="3" t="s">
        <v>6</v>
      </c>
      <c r="H94" s="3"/>
    </row>
    <row r="95" spans="1:8" customFormat="1" x14ac:dyDescent="0.2">
      <c r="A95" s="8">
        <v>44915</v>
      </c>
      <c r="B95" s="56" t="s">
        <v>75</v>
      </c>
      <c r="C95" s="11">
        <v>-27000</v>
      </c>
      <c r="D95" s="9" t="s">
        <v>4</v>
      </c>
      <c r="E95" s="9" t="s">
        <v>113</v>
      </c>
      <c r="F95" s="3" t="s">
        <v>97</v>
      </c>
      <c r="G95" s="3"/>
      <c r="H95" s="3"/>
    </row>
    <row r="96" spans="1:8" customFormat="1" x14ac:dyDescent="0.2">
      <c r="A96" s="8">
        <v>44915</v>
      </c>
      <c r="B96" s="56" t="s">
        <v>77</v>
      </c>
      <c r="C96" s="11">
        <v>4000</v>
      </c>
      <c r="D96" s="9" t="s">
        <v>4</v>
      </c>
      <c r="E96" s="9" t="s">
        <v>113</v>
      </c>
      <c r="F96" s="3" t="s">
        <v>97</v>
      </c>
      <c r="G96" s="3" t="s">
        <v>6</v>
      </c>
      <c r="H96" s="3"/>
    </row>
    <row r="97" spans="1:8" customFormat="1" x14ac:dyDescent="0.2">
      <c r="A97" s="8">
        <v>44915</v>
      </c>
      <c r="B97" s="56" t="s">
        <v>76</v>
      </c>
      <c r="C97" s="11">
        <v>58000</v>
      </c>
      <c r="D97" s="9" t="s">
        <v>4</v>
      </c>
      <c r="E97" s="9" t="s">
        <v>113</v>
      </c>
      <c r="F97" s="3" t="s">
        <v>97</v>
      </c>
      <c r="G97" s="3" t="s">
        <v>7</v>
      </c>
      <c r="H97" s="3"/>
    </row>
    <row r="98" spans="1:8" customFormat="1" x14ac:dyDescent="0.2">
      <c r="A98" s="8">
        <v>44946</v>
      </c>
      <c r="B98" s="56" t="s">
        <v>75</v>
      </c>
      <c r="C98" s="11">
        <v>-27000</v>
      </c>
      <c r="D98" s="9" t="s">
        <v>4</v>
      </c>
      <c r="E98" s="9" t="s">
        <v>113</v>
      </c>
      <c r="F98" s="3" t="s">
        <v>97</v>
      </c>
      <c r="G98" s="3"/>
      <c r="H98" s="3"/>
    </row>
    <row r="99" spans="1:8" customFormat="1" x14ac:dyDescent="0.2">
      <c r="A99" s="8">
        <v>44946</v>
      </c>
      <c r="B99" s="56" t="s">
        <v>77</v>
      </c>
      <c r="C99" s="11">
        <v>4000</v>
      </c>
      <c r="D99" s="9" t="s">
        <v>4</v>
      </c>
      <c r="E99" s="9" t="s">
        <v>113</v>
      </c>
      <c r="F99" s="3" t="s">
        <v>97</v>
      </c>
      <c r="G99" s="3" t="s">
        <v>6</v>
      </c>
      <c r="H99" s="3"/>
    </row>
    <row r="100" spans="1:8" customFormat="1" x14ac:dyDescent="0.2">
      <c r="A100" s="8">
        <v>44951</v>
      </c>
      <c r="B100" s="56" t="s">
        <v>76</v>
      </c>
      <c r="C100" s="11">
        <v>23000</v>
      </c>
      <c r="D100" s="9" t="s">
        <v>4</v>
      </c>
      <c r="E100" s="9" t="s">
        <v>113</v>
      </c>
      <c r="F100" s="3" t="s">
        <v>97</v>
      </c>
      <c r="G100" s="3" t="s">
        <v>7</v>
      </c>
      <c r="H100" s="3"/>
    </row>
    <row r="101" spans="1:8" customFormat="1" x14ac:dyDescent="0.2">
      <c r="A101" s="8">
        <v>44977</v>
      </c>
      <c r="B101" s="56" t="s">
        <v>75</v>
      </c>
      <c r="C101" s="11">
        <v>-27000</v>
      </c>
      <c r="D101" s="9" t="s">
        <v>4</v>
      </c>
      <c r="E101" s="9" t="s">
        <v>113</v>
      </c>
      <c r="F101" s="3" t="s">
        <v>97</v>
      </c>
      <c r="G101" s="3"/>
      <c r="H101" s="3"/>
    </row>
    <row r="102" spans="1:8" customFormat="1" x14ac:dyDescent="0.2">
      <c r="A102" s="8">
        <v>44984</v>
      </c>
      <c r="B102" s="56" t="s">
        <v>77</v>
      </c>
      <c r="C102" s="11">
        <v>4000</v>
      </c>
      <c r="D102" s="9" t="s">
        <v>4</v>
      </c>
      <c r="E102" s="9" t="s">
        <v>113</v>
      </c>
      <c r="F102" s="3" t="s">
        <v>97</v>
      </c>
      <c r="G102" s="3" t="s">
        <v>6</v>
      </c>
      <c r="H102" s="3"/>
    </row>
    <row r="103" spans="1:8" customFormat="1" x14ac:dyDescent="0.2">
      <c r="A103" s="8">
        <v>44985</v>
      </c>
      <c r="B103" s="56" t="s">
        <v>76</v>
      </c>
      <c r="C103" s="11">
        <v>23000</v>
      </c>
      <c r="D103" s="9" t="s">
        <v>4</v>
      </c>
      <c r="E103" s="9" t="s">
        <v>113</v>
      </c>
      <c r="F103" s="3" t="s">
        <v>97</v>
      </c>
      <c r="G103" s="3" t="s">
        <v>7</v>
      </c>
      <c r="H103" s="3"/>
    </row>
    <row r="104" spans="1:8" customFormat="1" x14ac:dyDescent="0.2">
      <c r="A104" s="8">
        <v>45005</v>
      </c>
      <c r="B104" s="56" t="s">
        <v>75</v>
      </c>
      <c r="C104" s="11">
        <v>-27000</v>
      </c>
      <c r="D104" s="9" t="s">
        <v>4</v>
      </c>
      <c r="E104" s="9" t="s">
        <v>113</v>
      </c>
      <c r="F104" s="3" t="s">
        <v>97</v>
      </c>
      <c r="G104" s="3"/>
      <c r="H104" s="3"/>
    </row>
    <row r="105" spans="1:8" customFormat="1" x14ac:dyDescent="0.2">
      <c r="A105" s="8">
        <v>45009</v>
      </c>
      <c r="B105" s="56" t="s">
        <v>77</v>
      </c>
      <c r="C105" s="11">
        <v>4000</v>
      </c>
      <c r="D105" s="9" t="s">
        <v>4</v>
      </c>
      <c r="E105" s="9" t="s">
        <v>113</v>
      </c>
      <c r="F105" s="3" t="s">
        <v>97</v>
      </c>
      <c r="G105" s="3" t="s">
        <v>6</v>
      </c>
      <c r="H105" s="3"/>
    </row>
    <row r="106" spans="1:8" customFormat="1" x14ac:dyDescent="0.2">
      <c r="A106" s="8">
        <v>45013</v>
      </c>
      <c r="B106" s="56" t="s">
        <v>76</v>
      </c>
      <c r="C106" s="11">
        <v>23000</v>
      </c>
      <c r="D106" s="9" t="s">
        <v>4</v>
      </c>
      <c r="E106" s="9" t="s">
        <v>113</v>
      </c>
      <c r="F106" s="3" t="s">
        <v>97</v>
      </c>
      <c r="G106" s="3" t="s">
        <v>7</v>
      </c>
      <c r="H106" s="3"/>
    </row>
    <row r="107" spans="1:8" customFormat="1" x14ac:dyDescent="0.2">
      <c r="A107" s="8">
        <v>45036</v>
      </c>
      <c r="B107" s="56" t="s">
        <v>75</v>
      </c>
      <c r="C107" s="11">
        <v>-27000</v>
      </c>
      <c r="D107" s="9" t="s">
        <v>4</v>
      </c>
      <c r="E107" s="9" t="s">
        <v>113</v>
      </c>
      <c r="F107" s="3" t="s">
        <v>97</v>
      </c>
      <c r="G107" s="3"/>
      <c r="H107" s="3"/>
    </row>
    <row r="108" spans="1:8" customFormat="1" x14ac:dyDescent="0.2">
      <c r="A108" s="8">
        <v>45041</v>
      </c>
      <c r="B108" s="56" t="s">
        <v>77</v>
      </c>
      <c r="C108" s="11">
        <v>4000</v>
      </c>
      <c r="D108" s="9" t="s">
        <v>4</v>
      </c>
      <c r="E108" s="9" t="s">
        <v>113</v>
      </c>
      <c r="F108" s="3" t="s">
        <v>97</v>
      </c>
      <c r="G108" s="3" t="s">
        <v>6</v>
      </c>
      <c r="H108" s="3"/>
    </row>
    <row r="109" spans="1:8" customFormat="1" x14ac:dyDescent="0.2">
      <c r="A109" s="8">
        <v>45042</v>
      </c>
      <c r="B109" s="56" t="s">
        <v>76</v>
      </c>
      <c r="C109" s="11">
        <v>23000</v>
      </c>
      <c r="D109" s="9" t="s">
        <v>4</v>
      </c>
      <c r="E109" s="9" t="s">
        <v>113</v>
      </c>
      <c r="F109" s="3" t="s">
        <v>97</v>
      </c>
      <c r="G109" s="3" t="s">
        <v>7</v>
      </c>
      <c r="H109" s="3"/>
    </row>
    <row r="110" spans="1:8" customFormat="1" x14ac:dyDescent="0.2">
      <c r="A110" s="8">
        <v>45066</v>
      </c>
      <c r="B110" s="56" t="s">
        <v>75</v>
      </c>
      <c r="C110" s="11">
        <v>-27000</v>
      </c>
      <c r="D110" s="9" t="s">
        <v>4</v>
      </c>
      <c r="E110" s="9" t="s">
        <v>113</v>
      </c>
      <c r="F110" s="3" t="s">
        <v>97</v>
      </c>
      <c r="G110" s="3"/>
      <c r="H110" s="3"/>
    </row>
    <row r="111" spans="1:8" customFormat="1" x14ac:dyDescent="0.2">
      <c r="A111" s="8">
        <v>45069</v>
      </c>
      <c r="B111" s="56" t="s">
        <v>77</v>
      </c>
      <c r="C111" s="11">
        <v>4000</v>
      </c>
      <c r="D111" s="9" t="s">
        <v>4</v>
      </c>
      <c r="E111" s="9" t="s">
        <v>113</v>
      </c>
      <c r="F111" s="3" t="s">
        <v>97</v>
      </c>
      <c r="G111" s="3" t="s">
        <v>6</v>
      </c>
      <c r="H111" s="3"/>
    </row>
    <row r="112" spans="1:8" customFormat="1" x14ac:dyDescent="0.2">
      <c r="A112" s="8">
        <v>45077</v>
      </c>
      <c r="B112" s="56" t="s">
        <v>76</v>
      </c>
      <c r="C112" s="11">
        <v>23000</v>
      </c>
      <c r="D112" s="9" t="s">
        <v>4</v>
      </c>
      <c r="E112" s="9" t="s">
        <v>113</v>
      </c>
      <c r="F112" s="3" t="s">
        <v>97</v>
      </c>
      <c r="G112" s="3" t="s">
        <v>7</v>
      </c>
      <c r="H112" s="3"/>
    </row>
    <row r="113" spans="1:8" customFormat="1" x14ac:dyDescent="0.2">
      <c r="A113" s="8">
        <v>45097</v>
      </c>
      <c r="B113" s="56" t="s">
        <v>75</v>
      </c>
      <c r="C113" s="11">
        <v>-27000</v>
      </c>
      <c r="D113" s="9" t="s">
        <v>4</v>
      </c>
      <c r="E113" s="9" t="s">
        <v>113</v>
      </c>
      <c r="F113" s="3" t="s">
        <v>97</v>
      </c>
      <c r="G113" s="3"/>
      <c r="H113" s="3"/>
    </row>
    <row r="114" spans="1:8" customFormat="1" x14ac:dyDescent="0.2">
      <c r="A114" s="8">
        <v>45103</v>
      </c>
      <c r="B114" s="56" t="s">
        <v>77</v>
      </c>
      <c r="C114" s="11">
        <v>4000</v>
      </c>
      <c r="D114" s="9" t="s">
        <v>4</v>
      </c>
      <c r="E114" s="9" t="s">
        <v>113</v>
      </c>
      <c r="F114" s="3" t="s">
        <v>97</v>
      </c>
      <c r="G114" s="3" t="s">
        <v>6</v>
      </c>
      <c r="H114" s="3"/>
    </row>
    <row r="115" spans="1:8" customFormat="1" x14ac:dyDescent="0.2">
      <c r="A115" s="8">
        <v>45111</v>
      </c>
      <c r="B115" s="56" t="s">
        <v>76</v>
      </c>
      <c r="C115" s="11">
        <v>23000</v>
      </c>
      <c r="D115" s="9" t="s">
        <v>4</v>
      </c>
      <c r="E115" s="9" t="s">
        <v>113</v>
      </c>
      <c r="F115" s="3" t="s">
        <v>97</v>
      </c>
      <c r="G115" s="3" t="s">
        <v>7</v>
      </c>
      <c r="H115" s="3"/>
    </row>
    <row r="116" spans="1:8" customFormat="1" x14ac:dyDescent="0.2">
      <c r="A116" s="8">
        <v>45127</v>
      </c>
      <c r="B116" s="56" t="s">
        <v>75</v>
      </c>
      <c r="C116" s="11">
        <v>-27000</v>
      </c>
      <c r="D116" s="9" t="s">
        <v>4</v>
      </c>
      <c r="E116" s="9" t="s">
        <v>113</v>
      </c>
      <c r="F116" s="3" t="s">
        <v>97</v>
      </c>
      <c r="G116" s="3"/>
      <c r="H116" s="3"/>
    </row>
    <row r="117" spans="1:8" customFormat="1" x14ac:dyDescent="0.2">
      <c r="A117" s="8">
        <v>45135</v>
      </c>
      <c r="B117" s="56" t="s">
        <v>77</v>
      </c>
      <c r="C117" s="11">
        <v>4000</v>
      </c>
      <c r="D117" s="9" t="s">
        <v>4</v>
      </c>
      <c r="E117" s="9" t="s">
        <v>113</v>
      </c>
      <c r="F117" s="3" t="s">
        <v>97</v>
      </c>
      <c r="G117" s="3" t="s">
        <v>6</v>
      </c>
      <c r="H117" s="3"/>
    </row>
    <row r="118" spans="1:8" customFormat="1" x14ac:dyDescent="0.2">
      <c r="A118" s="8">
        <v>45153</v>
      </c>
      <c r="B118" s="56" t="s">
        <v>76</v>
      </c>
      <c r="C118" s="11">
        <v>23000</v>
      </c>
      <c r="D118" s="9" t="s">
        <v>4</v>
      </c>
      <c r="E118" s="9" t="s">
        <v>113</v>
      </c>
      <c r="F118" s="3" t="s">
        <v>97</v>
      </c>
      <c r="G118" s="3" t="s">
        <v>7</v>
      </c>
      <c r="H118" s="3"/>
    </row>
    <row r="119" spans="1:8" customFormat="1" x14ac:dyDescent="0.2">
      <c r="A119" s="8">
        <v>45158</v>
      </c>
      <c r="B119" s="56" t="s">
        <v>75</v>
      </c>
      <c r="C119" s="11">
        <v>-27000</v>
      </c>
      <c r="D119" s="9" t="s">
        <v>4</v>
      </c>
      <c r="E119" s="9" t="s">
        <v>113</v>
      </c>
      <c r="F119" s="3" t="s">
        <v>97</v>
      </c>
      <c r="G119" s="3"/>
      <c r="H119" s="3"/>
    </row>
    <row r="120" spans="1:8" customFormat="1" x14ac:dyDescent="0.2">
      <c r="A120" s="8">
        <v>45161</v>
      </c>
      <c r="B120" s="56" t="s">
        <v>77</v>
      </c>
      <c r="C120" s="11">
        <v>4000</v>
      </c>
      <c r="D120" s="9" t="s">
        <v>4</v>
      </c>
      <c r="E120" s="9" t="s">
        <v>113</v>
      </c>
      <c r="F120" s="3" t="s">
        <v>97</v>
      </c>
      <c r="G120" s="3" t="s">
        <v>6</v>
      </c>
      <c r="H120" s="3"/>
    </row>
    <row r="121" spans="1:8" customFormat="1" x14ac:dyDescent="0.2">
      <c r="A121" s="8">
        <v>45153</v>
      </c>
      <c r="B121" s="56" t="s">
        <v>76</v>
      </c>
      <c r="C121" s="11">
        <v>23000</v>
      </c>
      <c r="D121" s="9" t="s">
        <v>4</v>
      </c>
      <c r="E121" s="9" t="s">
        <v>113</v>
      </c>
      <c r="F121" s="3" t="s">
        <v>97</v>
      </c>
      <c r="G121" s="3" t="s">
        <v>7</v>
      </c>
      <c r="H121" s="3"/>
    </row>
    <row r="122" spans="1:8" customFormat="1" x14ac:dyDescent="0.2">
      <c r="A122" s="8">
        <v>45189</v>
      </c>
      <c r="B122" s="56" t="s">
        <v>75</v>
      </c>
      <c r="C122" s="11">
        <v>-27000</v>
      </c>
      <c r="D122" s="9" t="s">
        <v>4</v>
      </c>
      <c r="E122" s="9" t="s">
        <v>113</v>
      </c>
      <c r="F122" s="3" t="s">
        <v>97</v>
      </c>
      <c r="G122" s="3"/>
      <c r="H122" s="3"/>
    </row>
    <row r="123" spans="1:8" customFormat="1" x14ac:dyDescent="0.2">
      <c r="A123" s="8">
        <v>45202</v>
      </c>
      <c r="B123" s="56" t="s">
        <v>77</v>
      </c>
      <c r="C123" s="11">
        <v>4000</v>
      </c>
      <c r="D123" s="9" t="s">
        <v>4</v>
      </c>
      <c r="E123" s="9" t="s">
        <v>113</v>
      </c>
      <c r="F123" s="3" t="s">
        <v>97</v>
      </c>
      <c r="G123" s="3" t="s">
        <v>6</v>
      </c>
      <c r="H123" s="3"/>
    </row>
    <row r="124" spans="1:8" customFormat="1" x14ac:dyDescent="0.2">
      <c r="A124" s="8">
        <v>45202</v>
      </c>
      <c r="B124" s="56" t="s">
        <v>76</v>
      </c>
      <c r="C124" s="11">
        <v>23000</v>
      </c>
      <c r="D124" s="9" t="s">
        <v>4</v>
      </c>
      <c r="E124" s="9" t="s">
        <v>113</v>
      </c>
      <c r="F124" s="3" t="s">
        <v>97</v>
      </c>
      <c r="G124" s="3" t="s">
        <v>7</v>
      </c>
      <c r="H124" s="3"/>
    </row>
    <row r="125" spans="1:8" s="1" customFormat="1" x14ac:dyDescent="0.2">
      <c r="A125" s="8">
        <v>45219</v>
      </c>
      <c r="B125" s="56" t="s">
        <v>75</v>
      </c>
      <c r="C125" s="11">
        <v>-1500</v>
      </c>
      <c r="D125" s="9" t="s">
        <v>81</v>
      </c>
      <c r="E125" s="9" t="s">
        <v>113</v>
      </c>
      <c r="F125" s="3" t="s">
        <v>97</v>
      </c>
      <c r="G125" s="3"/>
      <c r="H125" s="3"/>
    </row>
    <row r="126" spans="1:8" customFormat="1" x14ac:dyDescent="0.2">
      <c r="A126" s="8">
        <v>45250</v>
      </c>
      <c r="B126" s="56" t="s">
        <v>75</v>
      </c>
      <c r="C126" s="11">
        <v>-1500</v>
      </c>
      <c r="D126" s="9" t="s">
        <v>81</v>
      </c>
      <c r="E126" s="9" t="s">
        <v>113</v>
      </c>
      <c r="F126" s="3" t="s">
        <v>97</v>
      </c>
      <c r="G126" s="3"/>
      <c r="H126" s="3"/>
    </row>
    <row r="127" spans="1:8" customFormat="1" x14ac:dyDescent="0.2">
      <c r="A127" s="8">
        <v>45280</v>
      </c>
      <c r="B127" s="56" t="s">
        <v>75</v>
      </c>
      <c r="C127" s="11">
        <v>-1500</v>
      </c>
      <c r="D127" s="9" t="s">
        <v>81</v>
      </c>
      <c r="E127" s="9" t="s">
        <v>113</v>
      </c>
      <c r="F127" s="3" t="s">
        <v>97</v>
      </c>
      <c r="G127" s="3"/>
      <c r="H127" s="3"/>
    </row>
    <row r="128" spans="1:8" customFormat="1" x14ac:dyDescent="0.2">
      <c r="A128" s="8">
        <v>45311</v>
      </c>
      <c r="B128" s="56" t="s">
        <v>75</v>
      </c>
      <c r="C128" s="11">
        <v>-1500</v>
      </c>
      <c r="D128" s="9" t="s">
        <v>81</v>
      </c>
      <c r="E128" s="9" t="s">
        <v>113</v>
      </c>
      <c r="F128" s="3" t="s">
        <v>97</v>
      </c>
      <c r="G128" s="3"/>
      <c r="H128" s="3"/>
    </row>
    <row r="129" spans="1:8" customFormat="1" x14ac:dyDescent="0.2">
      <c r="A129" s="8">
        <v>45320</v>
      </c>
      <c r="B129" s="56" t="s">
        <v>76</v>
      </c>
      <c r="C129" s="11">
        <v>3000</v>
      </c>
      <c r="D129" s="9" t="s">
        <v>81</v>
      </c>
      <c r="E129" s="9" t="s">
        <v>113</v>
      </c>
      <c r="F129" s="3" t="s">
        <v>97</v>
      </c>
      <c r="G129" s="3" t="s">
        <v>7</v>
      </c>
      <c r="H129" s="3" t="s">
        <v>98</v>
      </c>
    </row>
    <row r="130" spans="1:8" customFormat="1" x14ac:dyDescent="0.2">
      <c r="A130" s="8">
        <v>45331</v>
      </c>
      <c r="B130" s="56" t="s">
        <v>76</v>
      </c>
      <c r="C130" s="11">
        <v>3000</v>
      </c>
      <c r="D130" s="9" t="s">
        <v>81</v>
      </c>
      <c r="E130" s="9" t="s">
        <v>113</v>
      </c>
      <c r="F130" s="3" t="s">
        <v>97</v>
      </c>
      <c r="G130" s="3" t="s">
        <v>7</v>
      </c>
      <c r="H130" s="3" t="s">
        <v>99</v>
      </c>
    </row>
    <row r="131" spans="1:8" customFormat="1" x14ac:dyDescent="0.2">
      <c r="A131" s="8">
        <v>45342</v>
      </c>
      <c r="B131" s="56" t="s">
        <v>75</v>
      </c>
      <c r="C131" s="11">
        <v>-1500</v>
      </c>
      <c r="D131" s="9" t="s">
        <v>81</v>
      </c>
      <c r="E131" s="9" t="s">
        <v>113</v>
      </c>
      <c r="F131" s="3" t="s">
        <v>97</v>
      </c>
      <c r="G131" s="3"/>
      <c r="H131" s="3"/>
    </row>
    <row r="132" spans="1:8" customFormat="1" x14ac:dyDescent="0.2">
      <c r="A132" s="8">
        <v>45371</v>
      </c>
      <c r="B132" s="56" t="s">
        <v>75</v>
      </c>
      <c r="C132" s="11">
        <v>-1500</v>
      </c>
      <c r="D132" s="9" t="s">
        <v>81</v>
      </c>
      <c r="E132" s="9" t="s">
        <v>113</v>
      </c>
      <c r="F132" s="3" t="s">
        <v>97</v>
      </c>
      <c r="G132" s="3"/>
      <c r="H132" s="3"/>
    </row>
    <row r="133" spans="1:8" customFormat="1" x14ac:dyDescent="0.2">
      <c r="A133" s="8">
        <v>45377</v>
      </c>
      <c r="B133" s="56" t="s">
        <v>76</v>
      </c>
      <c r="C133" s="11">
        <v>3000</v>
      </c>
      <c r="D133" s="9" t="s">
        <v>81</v>
      </c>
      <c r="E133" s="9" t="s">
        <v>113</v>
      </c>
      <c r="F133" s="3" t="s">
        <v>97</v>
      </c>
      <c r="G133" s="3" t="s">
        <v>7</v>
      </c>
      <c r="H133" s="3" t="s">
        <v>100</v>
      </c>
    </row>
    <row r="134" spans="1:8" customFormat="1" x14ac:dyDescent="0.2">
      <c r="A134" s="8">
        <v>45402</v>
      </c>
      <c r="B134" s="56" t="s">
        <v>75</v>
      </c>
      <c r="C134" s="11">
        <v>-1500</v>
      </c>
      <c r="D134" s="9" t="s">
        <v>81</v>
      </c>
      <c r="E134" s="9" t="s">
        <v>113</v>
      </c>
      <c r="F134" s="3" t="s">
        <v>97</v>
      </c>
      <c r="G134" s="3"/>
      <c r="H134" s="3"/>
    </row>
    <row r="135" spans="1:8" customFormat="1" x14ac:dyDescent="0.2">
      <c r="A135" s="8">
        <v>45432</v>
      </c>
      <c r="B135" s="56" t="s">
        <v>75</v>
      </c>
      <c r="C135" s="11">
        <v>-1500</v>
      </c>
      <c r="D135" s="9" t="s">
        <v>81</v>
      </c>
      <c r="E135" s="9" t="s">
        <v>113</v>
      </c>
      <c r="F135" s="3" t="s">
        <v>97</v>
      </c>
      <c r="G135" s="3"/>
      <c r="H135" s="3"/>
    </row>
    <row r="136" spans="1:8" customFormat="1" x14ac:dyDescent="0.2">
      <c r="A136" s="8">
        <v>45450</v>
      </c>
      <c r="B136" s="56" t="s">
        <v>76</v>
      </c>
      <c r="C136" s="11">
        <v>4500</v>
      </c>
      <c r="D136" s="9" t="s">
        <v>81</v>
      </c>
      <c r="E136" s="9" t="s">
        <v>113</v>
      </c>
      <c r="F136" s="3" t="s">
        <v>97</v>
      </c>
      <c r="G136" s="3" t="s">
        <v>7</v>
      </c>
      <c r="H136" s="3" t="s">
        <v>101</v>
      </c>
    </row>
    <row r="137" spans="1:8" customFormat="1" x14ac:dyDescent="0.2">
      <c r="A137" s="8">
        <v>45463</v>
      </c>
      <c r="B137" s="56" t="s">
        <v>75</v>
      </c>
      <c r="C137" s="11">
        <v>-1500</v>
      </c>
      <c r="D137" s="9" t="s">
        <v>81</v>
      </c>
      <c r="E137" s="9" t="s">
        <v>113</v>
      </c>
      <c r="F137" s="3" t="s">
        <v>97</v>
      </c>
      <c r="G137" s="3"/>
      <c r="H137" s="3"/>
    </row>
    <row r="138" spans="1:8" customFormat="1" x14ac:dyDescent="0.2">
      <c r="A138" s="8">
        <v>45493</v>
      </c>
      <c r="B138" s="56" t="s">
        <v>75</v>
      </c>
      <c r="C138" s="11">
        <v>-1500</v>
      </c>
      <c r="D138" s="9" t="s">
        <v>81</v>
      </c>
      <c r="E138" s="9" t="s">
        <v>113</v>
      </c>
      <c r="F138" s="3" t="s">
        <v>97</v>
      </c>
      <c r="G138" s="3"/>
      <c r="H138" s="3"/>
    </row>
    <row r="139" spans="1:8" customFormat="1" x14ac:dyDescent="0.2">
      <c r="A139" s="8">
        <v>45524</v>
      </c>
      <c r="B139" s="56" t="s">
        <v>75</v>
      </c>
      <c r="C139" s="11">
        <v>-1500</v>
      </c>
      <c r="D139" s="9" t="s">
        <v>81</v>
      </c>
      <c r="E139" s="9" t="s">
        <v>113</v>
      </c>
      <c r="F139" s="3" t="s">
        <v>97</v>
      </c>
      <c r="G139" s="3"/>
      <c r="H139" s="3"/>
    </row>
    <row r="140" spans="1:8" customFormat="1" x14ac:dyDescent="0.2">
      <c r="A140" s="8">
        <v>45555</v>
      </c>
      <c r="B140" s="56" t="s">
        <v>75</v>
      </c>
      <c r="C140" s="11">
        <v>-1500</v>
      </c>
      <c r="D140" s="9" t="s">
        <v>81</v>
      </c>
      <c r="E140" s="9" t="s">
        <v>113</v>
      </c>
      <c r="F140" s="3" t="s">
        <v>97</v>
      </c>
      <c r="G140" s="3"/>
      <c r="H140" s="3"/>
    </row>
    <row r="141" spans="1:8" customFormat="1" ht="17" thickBot="1" x14ac:dyDescent="0.25">
      <c r="A141" s="8">
        <v>45579</v>
      </c>
      <c r="B141" s="56" t="s">
        <v>76</v>
      </c>
      <c r="C141" s="11">
        <v>6000</v>
      </c>
      <c r="D141" s="9" t="s">
        <v>81</v>
      </c>
      <c r="E141" s="9" t="s">
        <v>113</v>
      </c>
      <c r="F141" s="3" t="s">
        <v>97</v>
      </c>
      <c r="G141" s="3" t="s">
        <v>7</v>
      </c>
      <c r="H141" s="67" t="s">
        <v>102</v>
      </c>
    </row>
    <row r="142" spans="1:8" s="1" customFormat="1" ht="17" thickTop="1" x14ac:dyDescent="0.2">
      <c r="A142" s="8">
        <v>45585</v>
      </c>
      <c r="B142" s="56" t="s">
        <v>75</v>
      </c>
      <c r="C142" s="11">
        <v>-1650</v>
      </c>
      <c r="D142" s="9" t="s">
        <v>81</v>
      </c>
      <c r="E142" s="9" t="s">
        <v>113</v>
      </c>
      <c r="F142" s="3" t="s">
        <v>97</v>
      </c>
      <c r="G142" s="3"/>
      <c r="H142" s="3" t="s">
        <v>74</v>
      </c>
    </row>
    <row r="143" spans="1:8" customFormat="1" x14ac:dyDescent="0.2">
      <c r="A143" s="8">
        <v>45616</v>
      </c>
      <c r="B143" s="56" t="s">
        <v>75</v>
      </c>
      <c r="C143" s="11">
        <v>-1650</v>
      </c>
      <c r="D143" s="9" t="s">
        <v>81</v>
      </c>
      <c r="E143" s="9" t="s">
        <v>113</v>
      </c>
      <c r="F143" s="3" t="s">
        <v>97</v>
      </c>
      <c r="G143" s="3"/>
      <c r="H143" s="3"/>
    </row>
    <row r="144" spans="1:8" customFormat="1" x14ac:dyDescent="0.2">
      <c r="A144" s="8">
        <v>45646</v>
      </c>
      <c r="B144" s="56" t="s">
        <v>75</v>
      </c>
      <c r="C144" s="11">
        <v>-1650</v>
      </c>
      <c r="D144" s="9" t="s">
        <v>81</v>
      </c>
      <c r="E144" s="9" t="s">
        <v>113</v>
      </c>
      <c r="F144" s="3" t="s">
        <v>97</v>
      </c>
      <c r="G144" s="3"/>
      <c r="H144" s="3"/>
    </row>
    <row r="145" spans="1:8" customFormat="1" x14ac:dyDescent="0.2">
      <c r="A145" s="8">
        <v>45677</v>
      </c>
      <c r="B145" s="56" t="s">
        <v>75</v>
      </c>
      <c r="C145" s="11">
        <v>-1650</v>
      </c>
      <c r="D145" s="9" t="s">
        <v>81</v>
      </c>
      <c r="E145" s="9" t="s">
        <v>113</v>
      </c>
      <c r="F145" s="3" t="s">
        <v>97</v>
      </c>
      <c r="G145" s="3"/>
      <c r="H145" s="3"/>
    </row>
    <row r="146" spans="1:8" customFormat="1" x14ac:dyDescent="0.2">
      <c r="A146" s="8">
        <v>45686</v>
      </c>
      <c r="B146" s="56" t="s">
        <v>76</v>
      </c>
      <c r="C146" s="11">
        <v>5100</v>
      </c>
      <c r="D146" s="9" t="s">
        <v>81</v>
      </c>
      <c r="E146" s="9" t="s">
        <v>113</v>
      </c>
      <c r="F146" s="3" t="s">
        <v>97</v>
      </c>
      <c r="G146" s="3" t="s">
        <v>7</v>
      </c>
      <c r="H146" s="3" t="s">
        <v>103</v>
      </c>
    </row>
    <row r="147" spans="1:8" customFormat="1" x14ac:dyDescent="0.2">
      <c r="A147" s="8">
        <v>45708</v>
      </c>
      <c r="B147" s="56" t="s">
        <v>75</v>
      </c>
      <c r="C147" s="11">
        <v>-1650</v>
      </c>
      <c r="D147" s="9" t="s">
        <v>81</v>
      </c>
      <c r="E147" s="9" t="s">
        <v>113</v>
      </c>
      <c r="F147" s="3" t="s">
        <v>97</v>
      </c>
      <c r="G147" s="3"/>
      <c r="H147" s="3"/>
    </row>
    <row r="148" spans="1:8" customFormat="1" x14ac:dyDescent="0.2">
      <c r="A148" s="8">
        <v>45736</v>
      </c>
      <c r="B148" s="56" t="s">
        <v>75</v>
      </c>
      <c r="C148" s="11">
        <v>-1650</v>
      </c>
      <c r="D148" s="9" t="s">
        <v>81</v>
      </c>
      <c r="E148" s="9" t="s">
        <v>113</v>
      </c>
      <c r="F148" s="3" t="s">
        <v>97</v>
      </c>
      <c r="G148" s="3"/>
      <c r="H148" s="3"/>
    </row>
    <row r="149" spans="1:8" customFormat="1" x14ac:dyDescent="0.2">
      <c r="A149" s="8">
        <v>45755</v>
      </c>
      <c r="B149" s="56" t="s">
        <v>76</v>
      </c>
      <c r="C149" s="11">
        <v>3300</v>
      </c>
      <c r="D149" s="9" t="s">
        <v>81</v>
      </c>
      <c r="E149" s="9" t="s">
        <v>113</v>
      </c>
      <c r="F149" s="3" t="s">
        <v>97</v>
      </c>
      <c r="G149" s="3" t="s">
        <v>7</v>
      </c>
      <c r="H149" s="3" t="s">
        <v>104</v>
      </c>
    </row>
    <row r="150" spans="1:8" customFormat="1" x14ac:dyDescent="0.2">
      <c r="A150" s="8">
        <v>45767</v>
      </c>
      <c r="B150" s="56" t="s">
        <v>75</v>
      </c>
      <c r="C150" s="11">
        <v>-1650</v>
      </c>
      <c r="D150" s="9" t="s">
        <v>81</v>
      </c>
      <c r="E150" s="9" t="s">
        <v>113</v>
      </c>
      <c r="F150" s="3" t="s">
        <v>97</v>
      </c>
      <c r="G150" s="3"/>
      <c r="H150" s="3"/>
    </row>
    <row r="151" spans="1:8" customFormat="1" x14ac:dyDescent="0.2">
      <c r="A151" s="8">
        <v>45797</v>
      </c>
      <c r="B151" s="56" t="s">
        <v>75</v>
      </c>
      <c r="C151" s="11">
        <v>-1650</v>
      </c>
      <c r="D151" s="9" t="s">
        <v>81</v>
      </c>
      <c r="E151" s="9" t="s">
        <v>113</v>
      </c>
      <c r="F151" s="3" t="s">
        <v>97</v>
      </c>
      <c r="G151" s="3"/>
      <c r="H151" s="3"/>
    </row>
    <row r="152" spans="1:8" customFormat="1" x14ac:dyDescent="0.2">
      <c r="A152" s="8">
        <v>45828</v>
      </c>
      <c r="B152" s="56" t="s">
        <v>75</v>
      </c>
      <c r="C152" s="11">
        <v>-1650</v>
      </c>
      <c r="D152" s="9" t="s">
        <v>81</v>
      </c>
      <c r="E152" s="9" t="s">
        <v>113</v>
      </c>
      <c r="F152" s="3" t="s">
        <v>97</v>
      </c>
      <c r="G152" s="3"/>
      <c r="H152" s="3"/>
    </row>
    <row r="153" spans="1:8" customFormat="1" x14ac:dyDescent="0.2">
      <c r="A153" s="8">
        <v>45833</v>
      </c>
      <c r="B153" s="56" t="s">
        <v>76</v>
      </c>
      <c r="C153" s="11">
        <v>4950</v>
      </c>
      <c r="D153" s="9" t="s">
        <v>81</v>
      </c>
      <c r="E153" s="9" t="s">
        <v>113</v>
      </c>
      <c r="F153" s="3" t="s">
        <v>97</v>
      </c>
      <c r="G153" s="3" t="s">
        <v>7</v>
      </c>
      <c r="H153" s="3" t="s">
        <v>105</v>
      </c>
    </row>
    <row r="154" spans="1:8" customFormat="1" x14ac:dyDescent="0.2">
      <c r="A154" s="8">
        <v>45858</v>
      </c>
      <c r="B154" s="56" t="s">
        <v>75</v>
      </c>
      <c r="C154" s="11">
        <v>-1650</v>
      </c>
      <c r="D154" s="9" t="s">
        <v>81</v>
      </c>
      <c r="E154" s="9" t="s">
        <v>113</v>
      </c>
      <c r="F154" s="3" t="s">
        <v>97</v>
      </c>
      <c r="G154" s="3"/>
      <c r="H154" s="3"/>
    </row>
    <row r="155" spans="1:8" customFormat="1" x14ac:dyDescent="0.2">
      <c r="A155" s="8">
        <v>45889</v>
      </c>
      <c r="B155" s="56" t="s">
        <v>75</v>
      </c>
      <c r="C155" s="11">
        <v>-1650</v>
      </c>
      <c r="D155" s="9" t="s">
        <v>81</v>
      </c>
      <c r="E155" s="9" t="s">
        <v>113</v>
      </c>
      <c r="F155" s="3" t="s">
        <v>97</v>
      </c>
      <c r="G155" s="3"/>
      <c r="H155" s="3"/>
    </row>
    <row r="156" spans="1:8" customFormat="1" x14ac:dyDescent="0.2">
      <c r="A156" s="8">
        <v>45920</v>
      </c>
      <c r="B156" s="56" t="s">
        <v>75</v>
      </c>
      <c r="C156" s="11">
        <v>-1650</v>
      </c>
      <c r="D156" s="9" t="s">
        <v>81</v>
      </c>
      <c r="E156" s="9" t="s">
        <v>113</v>
      </c>
      <c r="F156" s="3" t="s">
        <v>97</v>
      </c>
      <c r="G156" s="3"/>
      <c r="H156" s="3"/>
    </row>
    <row r="157" spans="1:8" customFormat="1" x14ac:dyDescent="0.2">
      <c r="A157" s="8">
        <v>45945</v>
      </c>
      <c r="B157" s="56" t="s">
        <v>76</v>
      </c>
      <c r="C157" s="11">
        <v>4950</v>
      </c>
      <c r="D157" s="9" t="s">
        <v>81</v>
      </c>
      <c r="E157" s="9" t="s">
        <v>113</v>
      </c>
      <c r="F157" s="3" t="s">
        <v>97</v>
      </c>
      <c r="G157" s="3" t="s">
        <v>7</v>
      </c>
      <c r="H157" s="3" t="s">
        <v>106</v>
      </c>
    </row>
    <row r="158" spans="1:8" s="1" customFormat="1" x14ac:dyDescent="0.2">
      <c r="A158" s="8">
        <v>45950</v>
      </c>
      <c r="B158" s="56" t="s">
        <v>75</v>
      </c>
      <c r="C158" s="11">
        <v>-1815.0000000000002</v>
      </c>
      <c r="D158" s="9" t="s">
        <v>81</v>
      </c>
      <c r="E158" s="9" t="s">
        <v>113</v>
      </c>
      <c r="F158" s="3" t="s">
        <v>97</v>
      </c>
      <c r="G158" s="3"/>
      <c r="H158" s="3"/>
    </row>
    <row r="159" spans="1:8" customFormat="1" x14ac:dyDescent="0.2">
      <c r="A159" s="8">
        <v>45981</v>
      </c>
      <c r="B159" s="56" t="s">
        <v>75</v>
      </c>
      <c r="C159" s="11">
        <v>-1815</v>
      </c>
      <c r="D159" s="9" t="s">
        <v>81</v>
      </c>
      <c r="E159" s="9" t="s">
        <v>113</v>
      </c>
      <c r="F159" s="3" t="s">
        <v>97</v>
      </c>
      <c r="G159" s="3"/>
      <c r="H159" s="3"/>
    </row>
    <row r="160" spans="1:8" customFormat="1" x14ac:dyDescent="0.2">
      <c r="A160" s="8">
        <v>46011</v>
      </c>
      <c r="B160" s="56" t="s">
        <v>75</v>
      </c>
      <c r="C160" s="11">
        <v>-1815</v>
      </c>
      <c r="D160" s="9" t="s">
        <v>81</v>
      </c>
      <c r="E160" s="9" t="s">
        <v>113</v>
      </c>
      <c r="F160" s="3" t="s">
        <v>97</v>
      </c>
      <c r="G160" s="3"/>
      <c r="H160" s="3"/>
    </row>
    <row r="161" spans="1:8" customFormat="1" x14ac:dyDescent="0.2">
      <c r="A161" s="8">
        <v>46021</v>
      </c>
      <c r="B161" s="56" t="s">
        <v>76</v>
      </c>
      <c r="C161" s="11">
        <v>4650</v>
      </c>
      <c r="D161" s="9" t="s">
        <v>81</v>
      </c>
      <c r="E161" s="9" t="s">
        <v>113</v>
      </c>
      <c r="F161" s="3" t="s">
        <v>97</v>
      </c>
      <c r="G161" s="3" t="s">
        <v>7</v>
      </c>
      <c r="H161" s="3" t="s">
        <v>107</v>
      </c>
    </row>
    <row r="162" spans="1:8" customFormat="1" x14ac:dyDescent="0.2">
      <c r="A162" s="8">
        <v>46042</v>
      </c>
      <c r="B162" s="56" t="s">
        <v>75</v>
      </c>
      <c r="C162" s="11">
        <v>-1815</v>
      </c>
      <c r="D162" s="9" t="s">
        <v>81</v>
      </c>
      <c r="E162" s="9" t="s">
        <v>113</v>
      </c>
      <c r="F162" s="3" t="s">
        <v>97</v>
      </c>
      <c r="G162" s="3"/>
      <c r="H162" s="3"/>
    </row>
    <row r="163" spans="1:8" customFormat="1" x14ac:dyDescent="0.2">
      <c r="A163" s="8">
        <v>46073</v>
      </c>
      <c r="B163" s="56" t="s">
        <v>75</v>
      </c>
      <c r="C163" s="11">
        <v>-1815</v>
      </c>
      <c r="D163" s="9" t="s">
        <v>81</v>
      </c>
      <c r="E163" s="9" t="s">
        <v>113</v>
      </c>
      <c r="F163" s="3" t="s">
        <v>97</v>
      </c>
      <c r="G163" s="3"/>
      <c r="H163" s="3"/>
    </row>
    <row r="164" spans="1:8" customFormat="1" x14ac:dyDescent="0.2">
      <c r="A164" s="8">
        <v>46087</v>
      </c>
      <c r="B164" s="56" t="s">
        <v>76</v>
      </c>
      <c r="C164" s="11">
        <v>4425</v>
      </c>
      <c r="D164" s="9" t="s">
        <v>81</v>
      </c>
      <c r="E164" s="9" t="s">
        <v>113</v>
      </c>
      <c r="F164" s="3" t="s">
        <v>97</v>
      </c>
      <c r="G164" s="3" t="s">
        <v>7</v>
      </c>
      <c r="H164" s="3" t="s">
        <v>108</v>
      </c>
    </row>
    <row r="165" spans="1:8" customFormat="1" x14ac:dyDescent="0.2">
      <c r="A165" s="8">
        <v>46101</v>
      </c>
      <c r="B165" s="56" t="s">
        <v>75</v>
      </c>
      <c r="C165" s="11">
        <v>-1815</v>
      </c>
      <c r="D165" s="9" t="s">
        <v>81</v>
      </c>
      <c r="E165" s="9" t="s">
        <v>113</v>
      </c>
      <c r="F165" s="3" t="s">
        <v>97</v>
      </c>
      <c r="G165" s="3"/>
      <c r="H165" s="3"/>
    </row>
  </sheetData>
  <sortState xmlns:xlrd2="http://schemas.microsoft.com/office/spreadsheetml/2017/richdata2" ref="A1:H165">
    <sortCondition ref="B1:B1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F8CC-29C1-E240-81C2-647B45601481}">
  <dimension ref="A1:H28"/>
  <sheetViews>
    <sheetView zoomScale="180" zoomScaleNormal="180" workbookViewId="0">
      <selection sqref="A1:XFD3"/>
    </sheetView>
  </sheetViews>
  <sheetFormatPr baseColWidth="10" defaultRowHeight="16" x14ac:dyDescent="0.2"/>
  <cols>
    <col min="1" max="1" width="10.5" style="2" bestFit="1" customWidth="1"/>
    <col min="2" max="2" width="12.33203125" bestFit="1" customWidth="1"/>
    <col min="3" max="3" width="9.33203125" style="10" bestFit="1" customWidth="1"/>
    <col min="4" max="4" width="4.1640625" bestFit="1" customWidth="1"/>
    <col min="5" max="5" width="16.83203125" bestFit="1" customWidth="1"/>
    <col min="6" max="6" width="7.33203125" bestFit="1" customWidth="1"/>
    <col min="7" max="7" width="7.5" bestFit="1" customWidth="1"/>
    <col min="8" max="8" width="17" bestFit="1" customWidth="1"/>
  </cols>
  <sheetData>
    <row r="1" spans="1:8" x14ac:dyDescent="0.2">
      <c r="A1" s="4">
        <v>43101</v>
      </c>
      <c r="B1" s="5" t="s">
        <v>0</v>
      </c>
      <c r="C1" s="12">
        <v>-29000</v>
      </c>
      <c r="D1" s="5" t="s">
        <v>4</v>
      </c>
      <c r="E1" s="5" t="s">
        <v>5</v>
      </c>
      <c r="F1" s="5" t="s">
        <v>1</v>
      </c>
      <c r="G1" s="5"/>
      <c r="H1" s="5"/>
    </row>
    <row r="2" spans="1:8" x14ac:dyDescent="0.2">
      <c r="A2" s="4">
        <v>43108</v>
      </c>
      <c r="B2" s="5" t="s">
        <v>2</v>
      </c>
      <c r="C2" s="12">
        <v>40600</v>
      </c>
      <c r="D2" s="5" t="s">
        <v>4</v>
      </c>
      <c r="E2" s="5" t="s">
        <v>5</v>
      </c>
      <c r="F2" s="5" t="s">
        <v>1</v>
      </c>
      <c r="G2" s="5" t="s">
        <v>6</v>
      </c>
      <c r="H2" s="5" t="s">
        <v>3</v>
      </c>
    </row>
    <row r="3" spans="1:8" x14ac:dyDescent="0.2">
      <c r="A3" s="4">
        <v>43108</v>
      </c>
      <c r="B3" s="5" t="s">
        <v>2</v>
      </c>
      <c r="C3" s="12">
        <v>75400</v>
      </c>
      <c r="D3" s="5" t="s">
        <v>4</v>
      </c>
      <c r="E3" s="5" t="s">
        <v>5</v>
      </c>
      <c r="F3" s="5" t="s">
        <v>1</v>
      </c>
      <c r="G3" s="5" t="s">
        <v>7</v>
      </c>
      <c r="H3" s="5"/>
    </row>
    <row r="5" spans="1:8" x14ac:dyDescent="0.2">
      <c r="A5" s="4">
        <v>42856</v>
      </c>
      <c r="B5" s="5" t="s">
        <v>0</v>
      </c>
      <c r="C5" s="12">
        <v>-29000</v>
      </c>
      <c r="D5" s="5" t="s">
        <v>4</v>
      </c>
      <c r="E5" s="5" t="s">
        <v>5</v>
      </c>
      <c r="F5" s="5" t="s">
        <v>1</v>
      </c>
      <c r="G5" s="5"/>
    </row>
    <row r="6" spans="1:8" x14ac:dyDescent="0.2">
      <c r="A6" s="4">
        <v>42860</v>
      </c>
      <c r="B6" s="5" t="s">
        <v>2</v>
      </c>
      <c r="C6" s="10">
        <v>10150</v>
      </c>
      <c r="D6" s="5" t="s">
        <v>4</v>
      </c>
      <c r="E6" s="5" t="s">
        <v>5</v>
      </c>
      <c r="F6" s="5" t="s">
        <v>1</v>
      </c>
      <c r="G6" s="5" t="s">
        <v>6</v>
      </c>
    </row>
    <row r="7" spans="1:8" x14ac:dyDescent="0.2">
      <c r="A7" s="4">
        <v>42860</v>
      </c>
      <c r="B7" s="5" t="s">
        <v>2</v>
      </c>
      <c r="C7" s="10">
        <v>18850</v>
      </c>
      <c r="D7" s="5" t="s">
        <v>4</v>
      </c>
      <c r="E7" s="5" t="s">
        <v>5</v>
      </c>
      <c r="F7" s="5" t="s">
        <v>1</v>
      </c>
      <c r="G7" s="5" t="s">
        <v>7</v>
      </c>
    </row>
    <row r="8" spans="1:8" x14ac:dyDescent="0.2">
      <c r="A8" s="2">
        <f>A5+31</f>
        <v>42887</v>
      </c>
      <c r="B8" s="5" t="s">
        <v>0</v>
      </c>
      <c r="C8" s="12">
        <v>-29000</v>
      </c>
      <c r="D8" s="5" t="s">
        <v>4</v>
      </c>
      <c r="E8" s="5" t="s">
        <v>5</v>
      </c>
      <c r="F8" s="5" t="s">
        <v>1</v>
      </c>
      <c r="G8" s="5"/>
    </row>
    <row r="9" spans="1:8" x14ac:dyDescent="0.2">
      <c r="A9" s="2">
        <f>A6+31</f>
        <v>42891</v>
      </c>
      <c r="B9" s="5" t="s">
        <v>2</v>
      </c>
      <c r="C9" s="10">
        <v>10150</v>
      </c>
      <c r="D9" s="5" t="s">
        <v>4</v>
      </c>
      <c r="E9" s="5" t="s">
        <v>5</v>
      </c>
      <c r="F9" s="5" t="s">
        <v>1</v>
      </c>
      <c r="G9" s="5" t="s">
        <v>6</v>
      </c>
    </row>
    <row r="10" spans="1:8" x14ac:dyDescent="0.2">
      <c r="A10" s="2">
        <f>A7+31</f>
        <v>42891</v>
      </c>
      <c r="B10" s="5" t="s">
        <v>2</v>
      </c>
      <c r="C10" s="10">
        <v>18850</v>
      </c>
      <c r="D10" s="5" t="s">
        <v>4</v>
      </c>
      <c r="E10" s="5" t="s">
        <v>5</v>
      </c>
      <c r="F10" s="5" t="s">
        <v>1</v>
      </c>
      <c r="G10" s="5" t="s">
        <v>7</v>
      </c>
    </row>
    <row r="11" spans="1:8" x14ac:dyDescent="0.2">
      <c r="A11" s="2">
        <f>A8+30</f>
        <v>42917</v>
      </c>
      <c r="B11" s="5" t="s">
        <v>0</v>
      </c>
      <c r="C11" s="12">
        <v>-29000</v>
      </c>
      <c r="D11" s="5" t="s">
        <v>4</v>
      </c>
      <c r="E11" s="5" t="s">
        <v>5</v>
      </c>
      <c r="F11" s="5" t="s">
        <v>1</v>
      </c>
      <c r="G11" s="5"/>
    </row>
    <row r="12" spans="1:8" x14ac:dyDescent="0.2">
      <c r="A12" s="2">
        <f>A9+30</f>
        <v>42921</v>
      </c>
      <c r="B12" s="5" t="s">
        <v>2</v>
      </c>
      <c r="C12" s="10">
        <v>10150</v>
      </c>
      <c r="D12" s="5" t="s">
        <v>4</v>
      </c>
      <c r="E12" s="5" t="s">
        <v>5</v>
      </c>
      <c r="F12" s="5" t="s">
        <v>1</v>
      </c>
      <c r="G12" s="5" t="s">
        <v>6</v>
      </c>
    </row>
    <row r="13" spans="1:8" x14ac:dyDescent="0.2">
      <c r="A13" s="2">
        <f>A10+30</f>
        <v>42921</v>
      </c>
      <c r="B13" s="5" t="s">
        <v>2</v>
      </c>
      <c r="C13" s="10">
        <v>18850</v>
      </c>
      <c r="D13" s="5" t="s">
        <v>4</v>
      </c>
      <c r="E13" s="5" t="s">
        <v>5</v>
      </c>
      <c r="F13" s="5" t="s">
        <v>1</v>
      </c>
      <c r="G13" s="5" t="s">
        <v>7</v>
      </c>
    </row>
    <row r="14" spans="1:8" x14ac:dyDescent="0.2">
      <c r="A14" s="2">
        <f t="shared" ref="A14:A19" si="0">A11+31</f>
        <v>42948</v>
      </c>
      <c r="B14" s="5" t="s">
        <v>0</v>
      </c>
      <c r="C14" s="12">
        <v>-29000</v>
      </c>
      <c r="D14" s="5" t="s">
        <v>4</v>
      </c>
      <c r="E14" s="5" t="s">
        <v>5</v>
      </c>
      <c r="F14" s="5" t="s">
        <v>1</v>
      </c>
      <c r="G14" s="5"/>
    </row>
    <row r="15" spans="1:8" x14ac:dyDescent="0.2">
      <c r="A15" s="2">
        <f t="shared" si="0"/>
        <v>42952</v>
      </c>
      <c r="B15" s="5" t="s">
        <v>2</v>
      </c>
      <c r="C15" s="10">
        <v>10150</v>
      </c>
      <c r="D15" s="5" t="s">
        <v>4</v>
      </c>
      <c r="E15" s="5" t="s">
        <v>5</v>
      </c>
      <c r="F15" s="5" t="s">
        <v>1</v>
      </c>
      <c r="G15" s="5" t="s">
        <v>6</v>
      </c>
    </row>
    <row r="16" spans="1:8" x14ac:dyDescent="0.2">
      <c r="A16" s="2">
        <f t="shared" si="0"/>
        <v>42952</v>
      </c>
      <c r="B16" s="5" t="s">
        <v>2</v>
      </c>
      <c r="C16" s="10">
        <v>18850</v>
      </c>
      <c r="D16" s="5" t="s">
        <v>4</v>
      </c>
      <c r="E16" s="5" t="s">
        <v>5</v>
      </c>
      <c r="F16" s="5" t="s">
        <v>1</v>
      </c>
      <c r="G16" s="5" t="s">
        <v>7</v>
      </c>
    </row>
    <row r="17" spans="1:7" x14ac:dyDescent="0.2">
      <c r="A17" s="2">
        <f t="shared" si="0"/>
        <v>42979</v>
      </c>
      <c r="B17" s="5" t="s">
        <v>0</v>
      </c>
      <c r="C17" s="12">
        <v>-29000</v>
      </c>
      <c r="D17" s="5" t="s">
        <v>4</v>
      </c>
      <c r="E17" s="5" t="s">
        <v>5</v>
      </c>
      <c r="F17" s="5" t="s">
        <v>1</v>
      </c>
      <c r="G17" s="5"/>
    </row>
    <row r="18" spans="1:7" x14ac:dyDescent="0.2">
      <c r="A18" s="2">
        <f t="shared" si="0"/>
        <v>42983</v>
      </c>
      <c r="B18" s="5" t="s">
        <v>2</v>
      </c>
      <c r="C18" s="10">
        <v>10150</v>
      </c>
      <c r="D18" s="5" t="s">
        <v>4</v>
      </c>
      <c r="E18" s="5" t="s">
        <v>5</v>
      </c>
      <c r="F18" s="5" t="s">
        <v>1</v>
      </c>
      <c r="G18" s="5" t="s">
        <v>6</v>
      </c>
    </row>
    <row r="19" spans="1:7" x14ac:dyDescent="0.2">
      <c r="A19" s="2">
        <f t="shared" si="0"/>
        <v>42983</v>
      </c>
      <c r="B19" s="5" t="s">
        <v>2</v>
      </c>
      <c r="C19" s="10">
        <v>18850</v>
      </c>
      <c r="D19" s="5" t="s">
        <v>4</v>
      </c>
      <c r="E19" s="5" t="s">
        <v>5</v>
      </c>
      <c r="F19" s="5" t="s">
        <v>1</v>
      </c>
      <c r="G19" s="5" t="s">
        <v>7</v>
      </c>
    </row>
    <row r="20" spans="1:7" x14ac:dyDescent="0.2">
      <c r="A20" s="2">
        <f>A17+30</f>
        <v>43009</v>
      </c>
      <c r="B20" s="5" t="s">
        <v>0</v>
      </c>
      <c r="C20" s="12">
        <v>-29000</v>
      </c>
      <c r="D20" s="5" t="s">
        <v>4</v>
      </c>
      <c r="E20" s="5" t="s">
        <v>5</v>
      </c>
      <c r="F20" s="5" t="s">
        <v>1</v>
      </c>
      <c r="G20" s="5"/>
    </row>
    <row r="21" spans="1:7" x14ac:dyDescent="0.2">
      <c r="A21" s="2">
        <f>A18+30</f>
        <v>43013</v>
      </c>
      <c r="B21" s="5" t="s">
        <v>2</v>
      </c>
      <c r="C21" s="10">
        <v>10150</v>
      </c>
      <c r="D21" s="5" t="s">
        <v>4</v>
      </c>
      <c r="E21" s="5" t="s">
        <v>5</v>
      </c>
      <c r="F21" s="5" t="s">
        <v>1</v>
      </c>
      <c r="G21" s="5" t="s">
        <v>6</v>
      </c>
    </row>
    <row r="22" spans="1:7" x14ac:dyDescent="0.2">
      <c r="A22" s="2">
        <f>A19+30</f>
        <v>43013</v>
      </c>
      <c r="B22" s="5" t="s">
        <v>2</v>
      </c>
      <c r="C22" s="10">
        <v>18850</v>
      </c>
      <c r="D22" s="5" t="s">
        <v>4</v>
      </c>
      <c r="E22" s="5" t="s">
        <v>5</v>
      </c>
      <c r="F22" s="5" t="s">
        <v>1</v>
      </c>
      <c r="G22" s="5" t="s">
        <v>7</v>
      </c>
    </row>
    <row r="23" spans="1:7" x14ac:dyDescent="0.2">
      <c r="A23" s="2">
        <f>A20+31</f>
        <v>43040</v>
      </c>
      <c r="B23" s="5" t="s">
        <v>0</v>
      </c>
      <c r="C23" s="12">
        <v>-29000</v>
      </c>
      <c r="D23" s="5" t="s">
        <v>4</v>
      </c>
      <c r="E23" s="5" t="s">
        <v>5</v>
      </c>
      <c r="F23" s="5" t="s">
        <v>1</v>
      </c>
      <c r="G23" s="5"/>
    </row>
    <row r="24" spans="1:7" x14ac:dyDescent="0.2">
      <c r="A24" s="2">
        <f>A21+31</f>
        <v>43044</v>
      </c>
      <c r="B24" s="5" t="s">
        <v>2</v>
      </c>
      <c r="C24" s="10">
        <v>10150</v>
      </c>
      <c r="D24" s="5" t="s">
        <v>4</v>
      </c>
      <c r="E24" s="5" t="s">
        <v>5</v>
      </c>
      <c r="F24" s="5" t="s">
        <v>1</v>
      </c>
      <c r="G24" s="5" t="s">
        <v>6</v>
      </c>
    </row>
    <row r="25" spans="1:7" x14ac:dyDescent="0.2">
      <c r="A25" s="2">
        <f>A22+31</f>
        <v>43044</v>
      </c>
      <c r="B25" s="5" t="s">
        <v>2</v>
      </c>
      <c r="C25" s="10">
        <v>18850</v>
      </c>
      <c r="D25" s="5" t="s">
        <v>4</v>
      </c>
      <c r="E25" s="5" t="s">
        <v>5</v>
      </c>
      <c r="F25" s="5" t="s">
        <v>1</v>
      </c>
      <c r="G25" s="5" t="s">
        <v>7</v>
      </c>
    </row>
    <row r="26" spans="1:7" x14ac:dyDescent="0.2">
      <c r="A26" s="2">
        <f>A23+30</f>
        <v>43070</v>
      </c>
      <c r="B26" s="5" t="s">
        <v>0</v>
      </c>
      <c r="C26" s="12">
        <v>-29000</v>
      </c>
      <c r="D26" s="5" t="s">
        <v>4</v>
      </c>
      <c r="E26" s="5" t="s">
        <v>5</v>
      </c>
      <c r="F26" s="5" t="s">
        <v>1</v>
      </c>
      <c r="G26" s="5"/>
    </row>
    <row r="27" spans="1:7" x14ac:dyDescent="0.2">
      <c r="A27" s="2">
        <f>A24+30</f>
        <v>43074</v>
      </c>
      <c r="B27" s="5" t="s">
        <v>2</v>
      </c>
      <c r="C27" s="10">
        <v>10150</v>
      </c>
      <c r="D27" s="5" t="s">
        <v>4</v>
      </c>
      <c r="E27" s="5" t="s">
        <v>5</v>
      </c>
      <c r="F27" s="5" t="s">
        <v>1</v>
      </c>
      <c r="G27" s="5" t="s">
        <v>6</v>
      </c>
    </row>
    <row r="28" spans="1:7" x14ac:dyDescent="0.2">
      <c r="A28" s="2">
        <f>A25+30</f>
        <v>43074</v>
      </c>
      <c r="B28" s="5" t="s">
        <v>2</v>
      </c>
      <c r="C28" s="10">
        <v>18850</v>
      </c>
      <c r="D28" s="5" t="s">
        <v>4</v>
      </c>
      <c r="E28" s="5" t="s">
        <v>5</v>
      </c>
      <c r="F28" s="5" t="s">
        <v>1</v>
      </c>
      <c r="G28" s="5" t="s">
        <v>7</v>
      </c>
    </row>
  </sheetData>
  <sortState xmlns:xlrd2="http://schemas.microsoft.com/office/spreadsheetml/2017/richdata2" ref="A1:H3">
    <sortCondition ref="A1:A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2A10-D52F-0341-ADF9-DA30C1603F6A}">
  <dimension ref="A1:I512"/>
  <sheetViews>
    <sheetView topLeftCell="A253" zoomScaleNormal="120" workbookViewId="0">
      <selection activeCell="F265" sqref="F265"/>
    </sheetView>
  </sheetViews>
  <sheetFormatPr baseColWidth="10" defaultRowHeight="16" x14ac:dyDescent="0.2"/>
  <cols>
    <col min="1" max="1" width="10.5" bestFit="1" customWidth="1"/>
    <col min="2" max="2" width="19.6640625" bestFit="1" customWidth="1"/>
    <col min="3" max="3" width="13.33203125" bestFit="1" customWidth="1"/>
    <col min="4" max="4" width="15.1640625" bestFit="1" customWidth="1"/>
    <col min="5" max="5" width="29.5" bestFit="1" customWidth="1"/>
    <col min="6" max="6" width="55.83203125" bestFit="1" customWidth="1"/>
    <col min="7" max="7" width="18.1640625" bestFit="1" customWidth="1"/>
    <col min="8" max="8" width="56.83203125" bestFit="1" customWidth="1"/>
    <col min="9" max="9" width="7.6640625" bestFit="1" customWidth="1"/>
  </cols>
  <sheetData>
    <row r="1" spans="1:9" x14ac:dyDescent="0.2">
      <c r="A1" s="6">
        <v>43101</v>
      </c>
      <c r="B1" s="7" t="s">
        <v>0</v>
      </c>
      <c r="C1" s="33">
        <v>-29000</v>
      </c>
      <c r="D1" s="7" t="s">
        <v>4</v>
      </c>
      <c r="E1" s="7" t="s">
        <v>5</v>
      </c>
      <c r="F1" s="7" t="s">
        <v>1</v>
      </c>
      <c r="G1" s="7"/>
      <c r="H1" s="7"/>
      <c r="I1" s="5"/>
    </row>
    <row r="2" spans="1:9" x14ac:dyDescent="0.2">
      <c r="A2" s="6">
        <v>43108</v>
      </c>
      <c r="B2" s="7" t="s">
        <v>2</v>
      </c>
      <c r="C2" s="33">
        <v>40600</v>
      </c>
      <c r="D2" s="7" t="s">
        <v>4</v>
      </c>
      <c r="E2" s="7" t="s">
        <v>5</v>
      </c>
      <c r="F2" s="7" t="s">
        <v>1</v>
      </c>
      <c r="G2" s="7" t="s">
        <v>6</v>
      </c>
      <c r="H2" s="7" t="s">
        <v>3</v>
      </c>
      <c r="I2" s="5" t="s">
        <v>6</v>
      </c>
    </row>
    <row r="3" spans="1:9" x14ac:dyDescent="0.2">
      <c r="A3" s="6"/>
      <c r="B3" s="7"/>
      <c r="C3" s="33"/>
      <c r="D3" s="7"/>
      <c r="E3" s="7"/>
      <c r="F3" s="7"/>
      <c r="G3" s="7"/>
      <c r="H3" s="7"/>
      <c r="I3" s="5"/>
    </row>
    <row r="4" spans="1:9" x14ac:dyDescent="0.2">
      <c r="A4" s="6">
        <v>43108</v>
      </c>
      <c r="B4" s="7" t="s">
        <v>2</v>
      </c>
      <c r="C4" s="33">
        <v>75400</v>
      </c>
      <c r="D4" s="7" t="s">
        <v>4</v>
      </c>
      <c r="E4" s="7" t="s">
        <v>5</v>
      </c>
      <c r="F4" s="7" t="s">
        <v>1</v>
      </c>
      <c r="G4" s="7" t="s">
        <v>7</v>
      </c>
      <c r="H4" s="7"/>
      <c r="I4" s="5" t="s">
        <v>7</v>
      </c>
    </row>
    <row r="5" spans="1:9" x14ac:dyDescent="0.2">
      <c r="A5" s="6"/>
      <c r="B5" s="7"/>
      <c r="C5" s="33"/>
      <c r="D5" s="7"/>
      <c r="E5" s="7"/>
      <c r="F5" s="7"/>
      <c r="G5" s="7"/>
      <c r="H5" s="7"/>
      <c r="I5" s="5"/>
    </row>
    <row r="6" spans="1:9" x14ac:dyDescent="0.2">
      <c r="A6" s="43">
        <v>43023</v>
      </c>
      <c r="B6" s="42" t="s">
        <v>75</v>
      </c>
      <c r="C6" s="44">
        <v>-22000</v>
      </c>
      <c r="D6" s="44" t="s">
        <v>4</v>
      </c>
      <c r="E6" s="42" t="s">
        <v>27</v>
      </c>
      <c r="F6" s="42" t="s">
        <v>9</v>
      </c>
      <c r="G6" s="42"/>
      <c r="H6" s="42"/>
    </row>
    <row r="7" spans="1:9" x14ac:dyDescent="0.2">
      <c r="A7" s="43">
        <v>43024</v>
      </c>
      <c r="B7" s="42" t="s">
        <v>77</v>
      </c>
      <c r="C7" s="44">
        <v>7699.9999999999991</v>
      </c>
      <c r="D7" s="44" t="s">
        <v>4</v>
      </c>
      <c r="E7" s="42" t="s">
        <v>27</v>
      </c>
      <c r="F7" s="42" t="s">
        <v>9</v>
      </c>
      <c r="G7" s="42" t="s">
        <v>6</v>
      </c>
      <c r="H7" s="42"/>
    </row>
    <row r="8" spans="1:9" x14ac:dyDescent="0.2">
      <c r="A8" s="43">
        <v>43024</v>
      </c>
      <c r="B8" s="42" t="s">
        <v>77</v>
      </c>
      <c r="C8" s="44">
        <v>14300</v>
      </c>
      <c r="D8" s="44" t="s">
        <v>4</v>
      </c>
      <c r="E8" s="42" t="s">
        <v>27</v>
      </c>
      <c r="F8" s="42" t="s">
        <v>9</v>
      </c>
      <c r="G8" s="42" t="s">
        <v>7</v>
      </c>
      <c r="H8" s="42"/>
    </row>
    <row r="9" spans="1:9" x14ac:dyDescent="0.2">
      <c r="A9" s="43">
        <v>43054</v>
      </c>
      <c r="B9" s="42" t="s">
        <v>75</v>
      </c>
      <c r="C9" s="44">
        <v>-22000</v>
      </c>
      <c r="D9" s="44" t="s">
        <v>4</v>
      </c>
      <c r="E9" s="42" t="s">
        <v>27</v>
      </c>
      <c r="F9" s="42" t="s">
        <v>9</v>
      </c>
      <c r="G9" s="42"/>
      <c r="H9" s="42"/>
    </row>
    <row r="10" spans="1:9" x14ac:dyDescent="0.2">
      <c r="A10" s="43">
        <v>43054</v>
      </c>
      <c r="B10" s="42" t="s">
        <v>77</v>
      </c>
      <c r="C10" s="44">
        <v>7699.9999999999991</v>
      </c>
      <c r="D10" s="44" t="s">
        <v>4</v>
      </c>
      <c r="E10" s="42" t="s">
        <v>27</v>
      </c>
      <c r="F10" s="42" t="s">
        <v>9</v>
      </c>
      <c r="G10" s="42" t="s">
        <v>6</v>
      </c>
      <c r="H10" s="42"/>
    </row>
    <row r="11" spans="1:9" x14ac:dyDescent="0.2">
      <c r="A11" s="43">
        <v>43055</v>
      </c>
      <c r="B11" s="42" t="s">
        <v>77</v>
      </c>
      <c r="C11" s="44">
        <v>14300</v>
      </c>
      <c r="D11" s="44" t="s">
        <v>4</v>
      </c>
      <c r="E11" s="42" t="s">
        <v>27</v>
      </c>
      <c r="F11" s="42" t="s">
        <v>9</v>
      </c>
      <c r="G11" s="42" t="s">
        <v>7</v>
      </c>
      <c r="H11" s="42"/>
    </row>
    <row r="12" spans="1:9" x14ac:dyDescent="0.2">
      <c r="A12" s="43">
        <v>43084</v>
      </c>
      <c r="B12" s="42" t="s">
        <v>75</v>
      </c>
      <c r="C12" s="44">
        <v>-22000</v>
      </c>
      <c r="D12" s="44" t="s">
        <v>4</v>
      </c>
      <c r="E12" s="42" t="s">
        <v>27</v>
      </c>
      <c r="F12" s="42" t="s">
        <v>9</v>
      </c>
      <c r="G12" s="42"/>
      <c r="H12" s="42"/>
    </row>
    <row r="13" spans="1:9" x14ac:dyDescent="0.2">
      <c r="A13" s="43">
        <v>43084</v>
      </c>
      <c r="B13" s="42" t="s">
        <v>77</v>
      </c>
      <c r="C13" s="44">
        <v>7699.9999999999991</v>
      </c>
      <c r="D13" s="44" t="s">
        <v>4</v>
      </c>
      <c r="E13" s="42" t="s">
        <v>27</v>
      </c>
      <c r="F13" s="42" t="s">
        <v>9</v>
      </c>
      <c r="G13" s="42" t="s">
        <v>6</v>
      </c>
      <c r="H13" s="42"/>
    </row>
    <row r="14" spans="1:9" x14ac:dyDescent="0.2">
      <c r="A14" s="43">
        <v>43085</v>
      </c>
      <c r="B14" s="42" t="s">
        <v>77</v>
      </c>
      <c r="C14" s="44">
        <v>14300</v>
      </c>
      <c r="D14" s="44" t="s">
        <v>4</v>
      </c>
      <c r="E14" s="42" t="s">
        <v>27</v>
      </c>
      <c r="F14" s="42" t="s">
        <v>9</v>
      </c>
      <c r="G14" s="42" t="s">
        <v>7</v>
      </c>
      <c r="H14" s="42"/>
    </row>
    <row r="15" spans="1:9" x14ac:dyDescent="0.2">
      <c r="A15" s="43">
        <v>43115</v>
      </c>
      <c r="B15" s="42" t="s">
        <v>75</v>
      </c>
      <c r="C15" s="44">
        <v>-22000</v>
      </c>
      <c r="D15" s="44" t="s">
        <v>4</v>
      </c>
      <c r="E15" s="42" t="s">
        <v>27</v>
      </c>
      <c r="F15" s="42" t="s">
        <v>9</v>
      </c>
      <c r="G15" s="42"/>
      <c r="H15" s="42"/>
    </row>
    <row r="16" spans="1:9" x14ac:dyDescent="0.2">
      <c r="A16" s="43">
        <v>43115</v>
      </c>
      <c r="B16" s="42" t="s">
        <v>77</v>
      </c>
      <c r="C16" s="44">
        <v>7699.9999999999991</v>
      </c>
      <c r="D16" s="44" t="s">
        <v>4</v>
      </c>
      <c r="E16" s="42" t="s">
        <v>27</v>
      </c>
      <c r="F16" s="42" t="s">
        <v>9</v>
      </c>
      <c r="G16" s="42" t="s">
        <v>6</v>
      </c>
      <c r="H16" s="42"/>
    </row>
    <row r="17" spans="1:8" x14ac:dyDescent="0.2">
      <c r="A17" s="43">
        <v>43116</v>
      </c>
      <c r="B17" s="42" t="s">
        <v>77</v>
      </c>
      <c r="C17" s="44">
        <v>14300</v>
      </c>
      <c r="D17" s="44" t="s">
        <v>4</v>
      </c>
      <c r="E17" s="42" t="s">
        <v>27</v>
      </c>
      <c r="F17" s="42" t="s">
        <v>9</v>
      </c>
      <c r="G17" s="42" t="s">
        <v>7</v>
      </c>
      <c r="H17" s="42"/>
    </row>
    <row r="18" spans="1:8" x14ac:dyDescent="0.2">
      <c r="A18" s="43">
        <v>43146</v>
      </c>
      <c r="B18" s="42" t="s">
        <v>75</v>
      </c>
      <c r="C18" s="44">
        <v>-22000</v>
      </c>
      <c r="D18" s="44" t="s">
        <v>4</v>
      </c>
      <c r="E18" s="42" t="s">
        <v>27</v>
      </c>
      <c r="F18" s="42" t="s">
        <v>9</v>
      </c>
      <c r="G18" s="42"/>
      <c r="H18" s="42"/>
    </row>
    <row r="19" spans="1:8" x14ac:dyDescent="0.2">
      <c r="A19" s="43">
        <v>43146</v>
      </c>
      <c r="B19" s="42" t="s">
        <v>77</v>
      </c>
      <c r="C19" s="44">
        <v>7699.9999999999991</v>
      </c>
      <c r="D19" s="44" t="s">
        <v>4</v>
      </c>
      <c r="E19" s="42" t="s">
        <v>27</v>
      </c>
      <c r="F19" s="42" t="s">
        <v>9</v>
      </c>
      <c r="G19" s="42"/>
      <c r="H19" s="42"/>
    </row>
    <row r="20" spans="1:8" x14ac:dyDescent="0.2">
      <c r="A20" s="43">
        <v>43147</v>
      </c>
      <c r="B20" s="42" t="s">
        <v>77</v>
      </c>
      <c r="C20" s="44">
        <v>14300</v>
      </c>
      <c r="D20" s="44" t="s">
        <v>4</v>
      </c>
      <c r="E20" s="42" t="s">
        <v>27</v>
      </c>
      <c r="F20" s="42" t="s">
        <v>9</v>
      </c>
      <c r="G20" s="42"/>
      <c r="H20" s="42"/>
    </row>
    <row r="21" spans="1:8" x14ac:dyDescent="0.2">
      <c r="A21" s="43">
        <v>43174</v>
      </c>
      <c r="B21" s="42" t="s">
        <v>75</v>
      </c>
      <c r="C21" s="44">
        <v>-22000</v>
      </c>
      <c r="D21" s="44" t="s">
        <v>4</v>
      </c>
      <c r="E21" s="42" t="s">
        <v>27</v>
      </c>
      <c r="F21" s="42" t="s">
        <v>9</v>
      </c>
      <c r="G21" s="42"/>
      <c r="H21" s="42"/>
    </row>
    <row r="22" spans="1:8" x14ac:dyDescent="0.2">
      <c r="A22" s="43">
        <v>43174</v>
      </c>
      <c r="B22" s="42" t="s">
        <v>77</v>
      </c>
      <c r="C22" s="44">
        <v>7699.9999999999991</v>
      </c>
      <c r="D22" s="44" t="s">
        <v>4</v>
      </c>
      <c r="E22" s="42" t="s">
        <v>27</v>
      </c>
      <c r="F22" s="42" t="s">
        <v>9</v>
      </c>
      <c r="G22" s="42"/>
      <c r="H22" s="42"/>
    </row>
    <row r="23" spans="1:8" x14ac:dyDescent="0.2">
      <c r="A23" s="43">
        <v>43175</v>
      </c>
      <c r="B23" s="42" t="s">
        <v>77</v>
      </c>
      <c r="C23" s="44">
        <v>14300</v>
      </c>
      <c r="D23" s="44" t="s">
        <v>4</v>
      </c>
      <c r="E23" s="42" t="s">
        <v>27</v>
      </c>
      <c r="F23" s="42" t="s">
        <v>9</v>
      </c>
      <c r="G23" s="42"/>
      <c r="H23" s="42"/>
    </row>
    <row r="24" spans="1:8" x14ac:dyDescent="0.2">
      <c r="A24" s="43">
        <v>43205</v>
      </c>
      <c r="B24" s="42" t="s">
        <v>75</v>
      </c>
      <c r="C24" s="44">
        <v>-22000</v>
      </c>
      <c r="D24" s="44" t="s">
        <v>4</v>
      </c>
      <c r="E24" s="42" t="s">
        <v>27</v>
      </c>
      <c r="F24" s="42" t="s">
        <v>9</v>
      </c>
      <c r="G24" s="42"/>
      <c r="H24" s="42"/>
    </row>
    <row r="25" spans="1:8" x14ac:dyDescent="0.2">
      <c r="A25" s="43">
        <v>43235</v>
      </c>
      <c r="B25" s="42" t="s">
        <v>75</v>
      </c>
      <c r="C25" s="44">
        <v>-22000</v>
      </c>
      <c r="D25" s="44" t="s">
        <v>4</v>
      </c>
      <c r="E25" s="42" t="s">
        <v>27</v>
      </c>
      <c r="F25" s="42" t="s">
        <v>9</v>
      </c>
      <c r="G25" s="42"/>
      <c r="H25" s="42"/>
    </row>
    <row r="26" spans="1:8" x14ac:dyDescent="0.2">
      <c r="A26" s="43">
        <v>43266</v>
      </c>
      <c r="B26" s="42" t="s">
        <v>75</v>
      </c>
      <c r="C26" s="44">
        <v>-22000</v>
      </c>
      <c r="D26" s="44" t="s">
        <v>4</v>
      </c>
      <c r="E26" s="42" t="s">
        <v>27</v>
      </c>
      <c r="F26" s="42" t="s">
        <v>9</v>
      </c>
      <c r="G26" s="42"/>
      <c r="H26" s="42"/>
    </row>
    <row r="27" spans="1:8" x14ac:dyDescent="0.2">
      <c r="A27" s="43">
        <v>43296</v>
      </c>
      <c r="B27" s="42" t="s">
        <v>75</v>
      </c>
      <c r="C27" s="44">
        <v>-22000</v>
      </c>
      <c r="D27" s="44" t="s">
        <v>4</v>
      </c>
      <c r="E27" s="42" t="s">
        <v>27</v>
      </c>
      <c r="F27" s="42" t="s">
        <v>9</v>
      </c>
      <c r="G27" s="42"/>
      <c r="H27" s="42"/>
    </row>
    <row r="28" spans="1:8" x14ac:dyDescent="0.2">
      <c r="A28" s="43">
        <v>43319</v>
      </c>
      <c r="B28" s="42" t="s">
        <v>77</v>
      </c>
      <c r="C28" s="44">
        <v>46200</v>
      </c>
      <c r="D28" s="44" t="s">
        <v>4</v>
      </c>
      <c r="E28" s="42" t="s">
        <v>27</v>
      </c>
      <c r="F28" s="42" t="s">
        <v>9</v>
      </c>
      <c r="G28" s="42" t="s">
        <v>6</v>
      </c>
      <c r="H28" s="42" t="s">
        <v>10</v>
      </c>
    </row>
    <row r="29" spans="1:8" x14ac:dyDescent="0.2">
      <c r="A29" s="43">
        <v>43319</v>
      </c>
      <c r="B29" s="42" t="s">
        <v>77</v>
      </c>
      <c r="C29" s="44">
        <v>85800</v>
      </c>
      <c r="D29" s="44" t="s">
        <v>4</v>
      </c>
      <c r="E29" s="42" t="s">
        <v>27</v>
      </c>
      <c r="F29" s="42" t="s">
        <v>9</v>
      </c>
      <c r="G29" s="42" t="s">
        <v>7</v>
      </c>
      <c r="H29" s="42" t="s">
        <v>10</v>
      </c>
    </row>
    <row r="30" spans="1:8" x14ac:dyDescent="0.2">
      <c r="A30" s="43">
        <v>43327</v>
      </c>
      <c r="B30" s="42" t="s">
        <v>75</v>
      </c>
      <c r="C30" s="44">
        <v>-22000</v>
      </c>
      <c r="D30" s="44" t="s">
        <v>4</v>
      </c>
      <c r="E30" s="42" t="s">
        <v>27</v>
      </c>
      <c r="F30" s="42" t="s">
        <v>9</v>
      </c>
      <c r="G30" s="42"/>
      <c r="H30" s="42"/>
    </row>
    <row r="31" spans="1:8" x14ac:dyDescent="0.2">
      <c r="A31" s="43">
        <v>43358</v>
      </c>
      <c r="B31" s="42" t="s">
        <v>75</v>
      </c>
      <c r="C31" s="44">
        <v>-22000</v>
      </c>
      <c r="D31" s="44" t="s">
        <v>4</v>
      </c>
      <c r="E31" s="42" t="s">
        <v>27</v>
      </c>
      <c r="F31" s="42" t="s">
        <v>9</v>
      </c>
      <c r="G31" s="42"/>
      <c r="H31" s="42"/>
    </row>
    <row r="32" spans="1:8" x14ac:dyDescent="0.2">
      <c r="A32" s="43">
        <v>43388</v>
      </c>
      <c r="B32" s="42" t="s">
        <v>75</v>
      </c>
      <c r="C32" s="44">
        <v>-22000</v>
      </c>
      <c r="D32" s="44" t="s">
        <v>4</v>
      </c>
      <c r="E32" s="42" t="s">
        <v>27</v>
      </c>
      <c r="F32" s="42" t="s">
        <v>9</v>
      </c>
      <c r="G32" s="42"/>
      <c r="H32" s="42"/>
    </row>
    <row r="33" spans="1:8" s="34" customFormat="1" ht="17" x14ac:dyDescent="0.2">
      <c r="A33" s="4">
        <v>43402</v>
      </c>
      <c r="B33" s="4"/>
      <c r="C33" s="12">
        <v>0</v>
      </c>
      <c r="D33" s="35" t="s">
        <v>4</v>
      </c>
      <c r="E33" s="40" t="s">
        <v>27</v>
      </c>
      <c r="F33" s="36" t="s">
        <v>9</v>
      </c>
      <c r="G33" s="39"/>
      <c r="H33" s="39" t="s">
        <v>36</v>
      </c>
    </row>
    <row r="34" spans="1:8" x14ac:dyDescent="0.2">
      <c r="A34" s="43">
        <v>43419</v>
      </c>
      <c r="B34" s="42" t="s">
        <v>75</v>
      </c>
      <c r="C34" s="44">
        <v>-22000</v>
      </c>
      <c r="D34" s="44" t="s">
        <v>4</v>
      </c>
      <c r="E34" s="42" t="s">
        <v>27</v>
      </c>
      <c r="F34" s="42" t="s">
        <v>9</v>
      </c>
      <c r="G34" s="42"/>
      <c r="H34" s="42"/>
    </row>
    <row r="35" spans="1:8" x14ac:dyDescent="0.2">
      <c r="A35" s="43">
        <v>43449</v>
      </c>
      <c r="B35" s="42" t="s">
        <v>75</v>
      </c>
      <c r="C35" s="44">
        <v>-22000</v>
      </c>
      <c r="D35" s="44" t="s">
        <v>4</v>
      </c>
      <c r="E35" s="42" t="s">
        <v>27</v>
      </c>
      <c r="F35" s="42" t="s">
        <v>9</v>
      </c>
      <c r="G35" s="42"/>
      <c r="H35" s="42"/>
    </row>
    <row r="36" spans="1:8" x14ac:dyDescent="0.2">
      <c r="A36" s="43">
        <v>43480</v>
      </c>
      <c r="B36" s="42" t="s">
        <v>75</v>
      </c>
      <c r="C36" s="44">
        <v>-22000</v>
      </c>
      <c r="D36" s="44" t="s">
        <v>4</v>
      </c>
      <c r="E36" s="42" t="s">
        <v>27</v>
      </c>
      <c r="F36" s="42" t="s">
        <v>9</v>
      </c>
      <c r="G36" s="42"/>
      <c r="H36" s="42"/>
    </row>
    <row r="37" spans="1:8" x14ac:dyDescent="0.2">
      <c r="A37" s="43">
        <v>43509</v>
      </c>
      <c r="B37" s="42" t="s">
        <v>75</v>
      </c>
      <c r="C37" s="44">
        <v>-22000</v>
      </c>
      <c r="D37" s="44" t="s">
        <v>4</v>
      </c>
      <c r="E37" s="42" t="s">
        <v>27</v>
      </c>
      <c r="F37" s="42" t="s">
        <v>9</v>
      </c>
      <c r="G37" s="42"/>
      <c r="H37" s="42"/>
    </row>
    <row r="38" spans="1:8" x14ac:dyDescent="0.2">
      <c r="A38" s="43">
        <v>43539</v>
      </c>
      <c r="B38" s="42" t="s">
        <v>75</v>
      </c>
      <c r="C38" s="44">
        <v>-22000</v>
      </c>
      <c r="D38" s="44" t="s">
        <v>4</v>
      </c>
      <c r="E38" s="42" t="s">
        <v>27</v>
      </c>
      <c r="F38" s="42" t="s">
        <v>9</v>
      </c>
      <c r="G38" s="42"/>
      <c r="H38" s="42"/>
    </row>
    <row r="39" spans="1:8" x14ac:dyDescent="0.2">
      <c r="A39" s="43">
        <v>43570</v>
      </c>
      <c r="B39" s="42" t="s">
        <v>75</v>
      </c>
      <c r="C39" s="44">
        <v>-22000</v>
      </c>
      <c r="D39" s="44" t="s">
        <v>4</v>
      </c>
      <c r="E39" s="42" t="s">
        <v>27</v>
      </c>
      <c r="F39" s="42" t="s">
        <v>9</v>
      </c>
      <c r="G39" s="42"/>
      <c r="H39" s="42"/>
    </row>
    <row r="40" spans="1:8" x14ac:dyDescent="0.2">
      <c r="A40" s="43">
        <v>43600</v>
      </c>
      <c r="B40" s="42" t="s">
        <v>75</v>
      </c>
      <c r="C40" s="44">
        <v>-22000</v>
      </c>
      <c r="D40" s="44" t="s">
        <v>4</v>
      </c>
      <c r="E40" s="42" t="s">
        <v>27</v>
      </c>
      <c r="F40" s="42" t="s">
        <v>9</v>
      </c>
      <c r="G40" s="42"/>
      <c r="H40" s="42"/>
    </row>
    <row r="41" spans="1:8" x14ac:dyDescent="0.2">
      <c r="A41" s="43">
        <v>43631</v>
      </c>
      <c r="B41" s="42" t="s">
        <v>77</v>
      </c>
      <c r="C41" s="44">
        <v>37800</v>
      </c>
      <c r="D41" s="44" t="s">
        <v>4</v>
      </c>
      <c r="E41" s="42" t="s">
        <v>27</v>
      </c>
      <c r="F41" s="42" t="s">
        <v>9</v>
      </c>
      <c r="G41" s="42" t="s">
        <v>6</v>
      </c>
      <c r="H41" s="42" t="s">
        <v>32</v>
      </c>
    </row>
    <row r="42" spans="1:8" x14ac:dyDescent="0.2">
      <c r="A42" s="43">
        <v>43631</v>
      </c>
      <c r="B42" s="42" t="s">
        <v>77</v>
      </c>
      <c r="C42" s="44">
        <v>70200</v>
      </c>
      <c r="D42" s="44" t="s">
        <v>4</v>
      </c>
      <c r="E42" s="42" t="s">
        <v>27</v>
      </c>
      <c r="F42" s="42" t="s">
        <v>9</v>
      </c>
      <c r="G42" s="42" t="s">
        <v>7</v>
      </c>
      <c r="H42" s="42" t="s">
        <v>32</v>
      </c>
    </row>
    <row r="43" spans="1:8" x14ac:dyDescent="0.2">
      <c r="A43" s="43">
        <v>43631</v>
      </c>
      <c r="B43" s="42" t="s">
        <v>75</v>
      </c>
      <c r="C43" s="44">
        <v>-22000</v>
      </c>
      <c r="D43" s="44" t="s">
        <v>4</v>
      </c>
      <c r="E43" s="42" t="s">
        <v>27</v>
      </c>
      <c r="F43" s="42" t="s">
        <v>9</v>
      </c>
      <c r="G43" s="42"/>
      <c r="H43" s="42"/>
    </row>
    <row r="44" spans="1:8" x14ac:dyDescent="0.2">
      <c r="A44" s="43">
        <v>43650</v>
      </c>
      <c r="B44" s="42" t="s">
        <v>77</v>
      </c>
      <c r="C44" s="44">
        <v>54600</v>
      </c>
      <c r="D44" s="44" t="s">
        <v>4</v>
      </c>
      <c r="E44" s="42" t="s">
        <v>27</v>
      </c>
      <c r="F44" s="42" t="s">
        <v>9</v>
      </c>
      <c r="G44" s="42" t="s">
        <v>6</v>
      </c>
      <c r="H44" s="42" t="s">
        <v>33</v>
      </c>
    </row>
    <row r="45" spans="1:8" x14ac:dyDescent="0.2">
      <c r="A45" s="43">
        <v>43650</v>
      </c>
      <c r="B45" s="42" t="s">
        <v>77</v>
      </c>
      <c r="C45" s="44">
        <v>101400</v>
      </c>
      <c r="D45" s="44" t="s">
        <v>4</v>
      </c>
      <c r="E45" s="42" t="s">
        <v>27</v>
      </c>
      <c r="F45" s="42" t="s">
        <v>9</v>
      </c>
      <c r="G45" s="42" t="s">
        <v>7</v>
      </c>
      <c r="H45" s="42" t="s">
        <v>33</v>
      </c>
    </row>
    <row r="46" spans="1:8" x14ac:dyDescent="0.2">
      <c r="A46" s="43">
        <v>43661</v>
      </c>
      <c r="B46" s="42" t="s">
        <v>75</v>
      </c>
      <c r="C46" s="44">
        <v>-22000</v>
      </c>
      <c r="D46" s="44" t="s">
        <v>4</v>
      </c>
      <c r="E46" s="42" t="s">
        <v>27</v>
      </c>
      <c r="F46" s="42" t="s">
        <v>9</v>
      </c>
      <c r="G46" s="42"/>
      <c r="H46" s="42"/>
    </row>
    <row r="47" spans="1:8" x14ac:dyDescent="0.2">
      <c r="A47" s="43">
        <v>43692</v>
      </c>
      <c r="B47" s="42" t="s">
        <v>75</v>
      </c>
      <c r="C47" s="44">
        <v>-22000</v>
      </c>
      <c r="D47" s="44" t="s">
        <v>4</v>
      </c>
      <c r="E47" s="42" t="s">
        <v>27</v>
      </c>
      <c r="F47" s="42" t="s">
        <v>9</v>
      </c>
      <c r="G47" s="42"/>
      <c r="H47" s="42"/>
    </row>
    <row r="48" spans="1:8" x14ac:dyDescent="0.2">
      <c r="A48" s="43">
        <v>43723</v>
      </c>
      <c r="B48" s="42" t="s">
        <v>75</v>
      </c>
      <c r="C48" s="44">
        <v>-22000</v>
      </c>
      <c r="D48" s="44" t="s">
        <v>4</v>
      </c>
      <c r="E48" s="42" t="s">
        <v>27</v>
      </c>
      <c r="F48" s="42" t="s">
        <v>9</v>
      </c>
      <c r="G48" s="42"/>
      <c r="H48" s="42"/>
    </row>
    <row r="49" spans="1:8" x14ac:dyDescent="0.2">
      <c r="A49" s="43">
        <v>43753</v>
      </c>
      <c r="B49" s="42" t="s">
        <v>75</v>
      </c>
      <c r="C49" s="44">
        <v>-24200</v>
      </c>
      <c r="D49" s="44" t="s">
        <v>4</v>
      </c>
      <c r="E49" s="42" t="s">
        <v>27</v>
      </c>
      <c r="F49" s="42" t="s">
        <v>9</v>
      </c>
      <c r="G49" s="42"/>
      <c r="H49" s="42"/>
    </row>
    <row r="50" spans="1:8" x14ac:dyDescent="0.2">
      <c r="A50" s="43">
        <v>43776</v>
      </c>
      <c r="B50" s="42" t="s">
        <v>75</v>
      </c>
      <c r="C50" s="44">
        <v>-5000</v>
      </c>
      <c r="D50" s="44" t="s">
        <v>4</v>
      </c>
      <c r="E50" s="42" t="s">
        <v>27</v>
      </c>
      <c r="F50" s="42" t="s">
        <v>9</v>
      </c>
      <c r="G50" s="42"/>
      <c r="H50" s="42" t="s">
        <v>12</v>
      </c>
    </row>
    <row r="51" spans="1:8" x14ac:dyDescent="0.2">
      <c r="A51" s="43">
        <v>43776</v>
      </c>
      <c r="B51" s="42" t="s">
        <v>76</v>
      </c>
      <c r="C51" s="44">
        <f>C50*-0.35</f>
        <v>1750</v>
      </c>
      <c r="D51" s="44" t="s">
        <v>4</v>
      </c>
      <c r="E51" s="42" t="s">
        <v>27</v>
      </c>
      <c r="F51" s="42" t="s">
        <v>9</v>
      </c>
      <c r="G51" s="42" t="s">
        <v>6</v>
      </c>
      <c r="H51" s="42"/>
    </row>
    <row r="52" spans="1:8" x14ac:dyDescent="0.2">
      <c r="A52" s="43">
        <v>43776</v>
      </c>
      <c r="B52" s="42" t="s">
        <v>76</v>
      </c>
      <c r="C52" s="44">
        <f>-C51-C50</f>
        <v>3250</v>
      </c>
      <c r="D52" s="44"/>
      <c r="E52" s="42" t="s">
        <v>27</v>
      </c>
      <c r="F52" s="42" t="s">
        <v>9</v>
      </c>
      <c r="G52" s="42" t="s">
        <v>7</v>
      </c>
      <c r="H52" s="42"/>
    </row>
    <row r="53" spans="1:8" ht="17" x14ac:dyDescent="0.2">
      <c r="A53" s="4">
        <v>43776</v>
      </c>
      <c r="B53" s="4"/>
      <c r="C53" s="12">
        <v>0</v>
      </c>
      <c r="D53" s="35" t="s">
        <v>4</v>
      </c>
      <c r="E53" s="40" t="s">
        <v>27</v>
      </c>
      <c r="F53" s="36" t="s">
        <v>9</v>
      </c>
      <c r="G53" s="39"/>
      <c r="H53" s="39" t="s">
        <v>83</v>
      </c>
    </row>
    <row r="54" spans="1:8" x14ac:dyDescent="0.2">
      <c r="A54" s="43">
        <v>43784</v>
      </c>
      <c r="B54" s="42" t="s">
        <v>75</v>
      </c>
      <c r="C54" s="44">
        <v>-24200</v>
      </c>
      <c r="D54" s="44" t="s">
        <v>4</v>
      </c>
      <c r="E54" s="42" t="s">
        <v>27</v>
      </c>
      <c r="F54" s="42" t="s">
        <v>9</v>
      </c>
      <c r="G54" s="42"/>
      <c r="H54" s="42"/>
    </row>
    <row r="55" spans="1:8" x14ac:dyDescent="0.2">
      <c r="A55" s="43">
        <v>43814</v>
      </c>
      <c r="B55" s="42" t="s">
        <v>75</v>
      </c>
      <c r="C55" s="44">
        <v>-24200</v>
      </c>
      <c r="D55" s="44" t="s">
        <v>4</v>
      </c>
      <c r="E55" s="42" t="s">
        <v>27</v>
      </c>
      <c r="F55" s="42" t="s">
        <v>9</v>
      </c>
      <c r="G55" s="42"/>
      <c r="H55" s="42"/>
    </row>
    <row r="56" spans="1:8" x14ac:dyDescent="0.2">
      <c r="A56" s="43">
        <v>43845</v>
      </c>
      <c r="B56" s="42" t="s">
        <v>75</v>
      </c>
      <c r="C56" s="44">
        <v>-24200</v>
      </c>
      <c r="D56" s="44" t="s">
        <v>4</v>
      </c>
      <c r="E56" s="42" t="s">
        <v>27</v>
      </c>
      <c r="F56" s="42" t="s">
        <v>9</v>
      </c>
      <c r="G56" s="42"/>
      <c r="H56" s="42"/>
    </row>
    <row r="57" spans="1:8" x14ac:dyDescent="0.2">
      <c r="A57" s="43">
        <v>43876</v>
      </c>
      <c r="B57" s="42" t="s">
        <v>75</v>
      </c>
      <c r="C57" s="44">
        <v>-24200</v>
      </c>
      <c r="D57" s="44" t="s">
        <v>4</v>
      </c>
      <c r="E57" s="42" t="s">
        <v>27</v>
      </c>
      <c r="F57" s="42" t="s">
        <v>9</v>
      </c>
      <c r="G57" s="42"/>
      <c r="H57" s="42"/>
    </row>
    <row r="58" spans="1:8" x14ac:dyDescent="0.2">
      <c r="A58" s="43">
        <v>43905</v>
      </c>
      <c r="B58" s="42" t="s">
        <v>75</v>
      </c>
      <c r="C58" s="44">
        <v>-24200</v>
      </c>
      <c r="D58" s="44" t="s">
        <v>4</v>
      </c>
      <c r="E58" s="42" t="s">
        <v>27</v>
      </c>
      <c r="F58" s="42" t="s">
        <v>9</v>
      </c>
      <c r="G58" s="42"/>
      <c r="H58" s="42"/>
    </row>
    <row r="59" spans="1:8" x14ac:dyDescent="0.2">
      <c r="A59" s="43">
        <v>43936</v>
      </c>
      <c r="B59" s="42" t="s">
        <v>75</v>
      </c>
      <c r="C59" s="44">
        <v>-24200</v>
      </c>
      <c r="D59" s="44" t="s">
        <v>4</v>
      </c>
      <c r="E59" s="42" t="s">
        <v>27</v>
      </c>
      <c r="F59" s="42" t="s">
        <v>9</v>
      </c>
      <c r="G59" s="42"/>
      <c r="H59" s="42"/>
    </row>
    <row r="60" spans="1:8" x14ac:dyDescent="0.2">
      <c r="A60" s="43">
        <v>43966</v>
      </c>
      <c r="B60" s="42" t="s">
        <v>75</v>
      </c>
      <c r="C60" s="44">
        <v>-24200</v>
      </c>
      <c r="D60" s="44" t="s">
        <v>4</v>
      </c>
      <c r="E60" s="42" t="s">
        <v>27</v>
      </c>
      <c r="F60" s="42" t="s">
        <v>9</v>
      </c>
      <c r="G60" s="42"/>
      <c r="H60" s="42"/>
    </row>
    <row r="61" spans="1:8" x14ac:dyDescent="0.2">
      <c r="A61" s="43">
        <v>43997</v>
      </c>
      <c r="B61" s="42" t="s">
        <v>75</v>
      </c>
      <c r="C61" s="44">
        <v>-24200</v>
      </c>
      <c r="D61" s="44" t="s">
        <v>4</v>
      </c>
      <c r="E61" s="42" t="s">
        <v>27</v>
      </c>
      <c r="F61" s="42" t="s">
        <v>9</v>
      </c>
      <c r="G61" s="42"/>
      <c r="H61" s="42"/>
    </row>
    <row r="62" spans="1:8" x14ac:dyDescent="0.2">
      <c r="A62" s="43">
        <v>44027</v>
      </c>
      <c r="B62" s="42" t="s">
        <v>75</v>
      </c>
      <c r="C62" s="44">
        <v>-24200</v>
      </c>
      <c r="D62" s="44" t="s">
        <v>4</v>
      </c>
      <c r="E62" s="42" t="s">
        <v>27</v>
      </c>
      <c r="F62" s="42" t="s">
        <v>9</v>
      </c>
      <c r="G62" s="42"/>
      <c r="H62" s="42"/>
    </row>
    <row r="63" spans="1:8" x14ac:dyDescent="0.2">
      <c r="A63" s="43">
        <v>44027</v>
      </c>
      <c r="B63" s="42" t="s">
        <v>77</v>
      </c>
      <c r="C63" s="44">
        <v>60059.999999999993</v>
      </c>
      <c r="D63" s="44" t="s">
        <v>4</v>
      </c>
      <c r="E63" s="42" t="s">
        <v>27</v>
      </c>
      <c r="F63" s="42" t="s">
        <v>9</v>
      </c>
      <c r="G63" s="42" t="s">
        <v>6</v>
      </c>
      <c r="H63" s="42" t="s">
        <v>34</v>
      </c>
    </row>
    <row r="64" spans="1:8" x14ac:dyDescent="0.2">
      <c r="A64" s="43">
        <v>44027</v>
      </c>
      <c r="B64" s="42" t="s">
        <v>77</v>
      </c>
      <c r="C64" s="44">
        <v>111540</v>
      </c>
      <c r="D64" s="44" t="s">
        <v>4</v>
      </c>
      <c r="E64" s="42" t="s">
        <v>27</v>
      </c>
      <c r="F64" s="42" t="s">
        <v>9</v>
      </c>
      <c r="G64" s="42" t="s">
        <v>7</v>
      </c>
      <c r="H64" s="42" t="s">
        <v>34</v>
      </c>
    </row>
    <row r="65" spans="1:8" x14ac:dyDescent="0.2">
      <c r="A65" s="43">
        <v>44043</v>
      </c>
      <c r="B65" s="42" t="s">
        <v>77</v>
      </c>
      <c r="C65" s="44">
        <v>41580</v>
      </c>
      <c r="D65" s="44" t="s">
        <v>4</v>
      </c>
      <c r="E65" s="42" t="s">
        <v>27</v>
      </c>
      <c r="F65" s="42" t="s">
        <v>9</v>
      </c>
      <c r="G65" s="42" t="s">
        <v>6</v>
      </c>
      <c r="H65" s="42" t="s">
        <v>35</v>
      </c>
    </row>
    <row r="66" spans="1:8" x14ac:dyDescent="0.2">
      <c r="A66" s="43">
        <v>44043</v>
      </c>
      <c r="B66" s="42" t="s">
        <v>77</v>
      </c>
      <c r="C66" s="44">
        <v>77220</v>
      </c>
      <c r="D66" s="44" t="s">
        <v>4</v>
      </c>
      <c r="E66" s="42" t="s">
        <v>27</v>
      </c>
      <c r="F66" s="42" t="s">
        <v>9</v>
      </c>
      <c r="G66" s="42" t="s">
        <v>7</v>
      </c>
      <c r="H66" s="42" t="s">
        <v>35</v>
      </c>
    </row>
    <row r="67" spans="1:8" x14ac:dyDescent="0.2">
      <c r="A67" s="43">
        <v>44058</v>
      </c>
      <c r="B67" s="42" t="s">
        <v>75</v>
      </c>
      <c r="C67" s="44">
        <v>-24200</v>
      </c>
      <c r="D67" s="44" t="s">
        <v>4</v>
      </c>
      <c r="E67" s="42" t="s">
        <v>27</v>
      </c>
      <c r="F67" s="42" t="s">
        <v>9</v>
      </c>
      <c r="G67" s="42"/>
      <c r="H67" s="42"/>
    </row>
    <row r="68" spans="1:8" x14ac:dyDescent="0.2">
      <c r="A68" s="43">
        <v>44089</v>
      </c>
      <c r="B68" s="42" t="s">
        <v>75</v>
      </c>
      <c r="C68" s="44">
        <v>-24200</v>
      </c>
      <c r="D68" s="44" t="s">
        <v>4</v>
      </c>
      <c r="E68" s="42" t="s">
        <v>27</v>
      </c>
      <c r="F68" s="42" t="s">
        <v>9</v>
      </c>
      <c r="G68" s="42"/>
      <c r="H68" s="42"/>
    </row>
    <row r="69" spans="1:8" x14ac:dyDescent="0.2">
      <c r="A69" s="43">
        <v>44119</v>
      </c>
      <c r="B69" s="42" t="s">
        <v>75</v>
      </c>
      <c r="C69" s="44">
        <v>-26600</v>
      </c>
      <c r="D69" s="44" t="s">
        <v>4</v>
      </c>
      <c r="E69" s="42" t="s">
        <v>27</v>
      </c>
      <c r="F69" s="42" t="s">
        <v>9</v>
      </c>
      <c r="G69" s="42"/>
      <c r="H69" s="42"/>
    </row>
    <row r="70" spans="1:8" x14ac:dyDescent="0.2">
      <c r="A70" s="4">
        <v>44120</v>
      </c>
      <c r="B70" s="4"/>
      <c r="C70" s="12">
        <v>0</v>
      </c>
      <c r="D70" s="35" t="s">
        <v>4</v>
      </c>
      <c r="E70" s="40" t="s">
        <v>27</v>
      </c>
      <c r="F70" s="36" t="s">
        <v>9</v>
      </c>
      <c r="G70" s="37"/>
      <c r="H70" s="37" t="s">
        <v>37</v>
      </c>
    </row>
    <row r="71" spans="1:8" x14ac:dyDescent="0.2">
      <c r="A71" s="8">
        <v>44150</v>
      </c>
      <c r="B71" s="9" t="s">
        <v>75</v>
      </c>
      <c r="C71" s="11">
        <v>-26600</v>
      </c>
      <c r="D71" s="41" t="s">
        <v>4</v>
      </c>
      <c r="E71" s="42" t="s">
        <v>27</v>
      </c>
      <c r="F71" s="32" t="s">
        <v>9</v>
      </c>
      <c r="G71" s="3"/>
      <c r="H71" s="3"/>
    </row>
    <row r="72" spans="1:8" x14ac:dyDescent="0.2">
      <c r="A72" s="8">
        <v>44150</v>
      </c>
      <c r="B72" s="9" t="s">
        <v>77</v>
      </c>
      <c r="C72" s="11">
        <v>5460</v>
      </c>
      <c r="D72" s="41" t="s">
        <v>4</v>
      </c>
      <c r="E72" s="42" t="s">
        <v>27</v>
      </c>
      <c r="F72" s="32" t="s">
        <v>9</v>
      </c>
      <c r="G72" s="3" t="s">
        <v>6</v>
      </c>
      <c r="H72" s="3"/>
    </row>
    <row r="73" spans="1:8" x14ac:dyDescent="0.2">
      <c r="A73" s="8">
        <v>44173</v>
      </c>
      <c r="B73" s="9" t="s">
        <v>77</v>
      </c>
      <c r="C73" s="11">
        <v>10140</v>
      </c>
      <c r="D73" s="41" t="s">
        <v>4</v>
      </c>
      <c r="E73" s="42" t="s">
        <v>27</v>
      </c>
      <c r="F73" s="32" t="s">
        <v>9</v>
      </c>
      <c r="G73" s="3" t="s">
        <v>7</v>
      </c>
      <c r="H73" s="3"/>
    </row>
    <row r="74" spans="1:8" x14ac:dyDescent="0.2">
      <c r="A74" s="8">
        <v>44180</v>
      </c>
      <c r="B74" s="9" t="s">
        <v>75</v>
      </c>
      <c r="C74" s="11">
        <v>-26600</v>
      </c>
      <c r="D74" s="41" t="s">
        <v>4</v>
      </c>
      <c r="E74" s="42" t="s">
        <v>27</v>
      </c>
      <c r="F74" s="32" t="s">
        <v>9</v>
      </c>
      <c r="G74" s="3"/>
      <c r="H74" s="3"/>
    </row>
    <row r="75" spans="1:8" x14ac:dyDescent="0.2">
      <c r="A75" s="8">
        <v>44187</v>
      </c>
      <c r="B75" s="9" t="s">
        <v>77</v>
      </c>
      <c r="C75" s="11">
        <v>5460</v>
      </c>
      <c r="D75" s="41" t="s">
        <v>4</v>
      </c>
      <c r="E75" s="42" t="s">
        <v>27</v>
      </c>
      <c r="F75" s="32" t="s">
        <v>9</v>
      </c>
      <c r="G75" s="3" t="s">
        <v>6</v>
      </c>
      <c r="H75" s="3"/>
    </row>
    <row r="76" spans="1:8" x14ac:dyDescent="0.2">
      <c r="A76" s="8">
        <v>44187</v>
      </c>
      <c r="B76" s="9" t="s">
        <v>77</v>
      </c>
      <c r="C76" s="11">
        <v>10140</v>
      </c>
      <c r="D76" s="41" t="s">
        <v>4</v>
      </c>
      <c r="E76" s="42" t="s">
        <v>27</v>
      </c>
      <c r="F76" s="32" t="s">
        <v>9</v>
      </c>
      <c r="G76" s="3" t="s">
        <v>7</v>
      </c>
      <c r="H76" s="3"/>
    </row>
    <row r="77" spans="1:8" x14ac:dyDescent="0.2">
      <c r="A77" s="8">
        <v>44211</v>
      </c>
      <c r="B77" s="9" t="s">
        <v>75</v>
      </c>
      <c r="C77" s="11">
        <v>-26600</v>
      </c>
      <c r="D77" s="41" t="s">
        <v>4</v>
      </c>
      <c r="E77" s="42" t="s">
        <v>27</v>
      </c>
      <c r="F77" s="32" t="s">
        <v>9</v>
      </c>
      <c r="G77" s="3"/>
      <c r="H77" s="3"/>
    </row>
    <row r="78" spans="1:8" x14ac:dyDescent="0.2">
      <c r="A78" s="8">
        <v>44221</v>
      </c>
      <c r="B78" s="9" t="s">
        <v>77</v>
      </c>
      <c r="C78" s="11">
        <v>5460</v>
      </c>
      <c r="D78" s="41" t="s">
        <v>4</v>
      </c>
      <c r="E78" s="42" t="s">
        <v>27</v>
      </c>
      <c r="F78" s="32" t="s">
        <v>9</v>
      </c>
      <c r="G78" s="3" t="s">
        <v>6</v>
      </c>
      <c r="H78" s="3"/>
    </row>
    <row r="79" spans="1:8" x14ac:dyDescent="0.2">
      <c r="A79" s="8">
        <v>44221</v>
      </c>
      <c r="B79" s="9" t="s">
        <v>77</v>
      </c>
      <c r="C79" s="11">
        <v>10140</v>
      </c>
      <c r="D79" s="41" t="s">
        <v>4</v>
      </c>
      <c r="E79" s="42" t="s">
        <v>27</v>
      </c>
      <c r="F79" s="32" t="s">
        <v>9</v>
      </c>
      <c r="G79" s="3" t="s">
        <v>7</v>
      </c>
      <c r="H79" s="3"/>
    </row>
    <row r="80" spans="1:8" x14ac:dyDescent="0.2">
      <c r="A80" s="8">
        <v>44242</v>
      </c>
      <c r="B80" s="9" t="s">
        <v>75</v>
      </c>
      <c r="C80" s="11">
        <v>-26600</v>
      </c>
      <c r="D80" s="41" t="s">
        <v>4</v>
      </c>
      <c r="E80" s="42" t="s">
        <v>27</v>
      </c>
      <c r="F80" s="32" t="s">
        <v>9</v>
      </c>
      <c r="G80" s="3"/>
      <c r="H80" s="3"/>
    </row>
    <row r="81" spans="1:8" x14ac:dyDescent="0.2">
      <c r="A81" s="8">
        <v>44267</v>
      </c>
      <c r="B81" s="9" t="s">
        <v>77</v>
      </c>
      <c r="C81" s="11">
        <v>5460</v>
      </c>
      <c r="D81" s="41" t="s">
        <v>4</v>
      </c>
      <c r="E81" s="42" t="s">
        <v>27</v>
      </c>
      <c r="F81" s="32" t="s">
        <v>9</v>
      </c>
      <c r="G81" s="3" t="s">
        <v>6</v>
      </c>
      <c r="H81" s="3"/>
    </row>
    <row r="82" spans="1:8" x14ac:dyDescent="0.2">
      <c r="A82" s="8">
        <v>44267</v>
      </c>
      <c r="B82" s="9" t="s">
        <v>77</v>
      </c>
      <c r="C82" s="11">
        <v>10140</v>
      </c>
      <c r="D82" s="41" t="s">
        <v>4</v>
      </c>
      <c r="E82" s="42" t="s">
        <v>27</v>
      </c>
      <c r="F82" s="32" t="s">
        <v>9</v>
      </c>
      <c r="G82" s="3" t="s">
        <v>7</v>
      </c>
      <c r="H82" s="3"/>
    </row>
    <row r="83" spans="1:8" x14ac:dyDescent="0.2">
      <c r="A83" s="8">
        <v>44270</v>
      </c>
      <c r="B83" s="9" t="s">
        <v>75</v>
      </c>
      <c r="C83" s="11">
        <v>-26600</v>
      </c>
      <c r="D83" s="41" t="s">
        <v>4</v>
      </c>
      <c r="E83" s="42" t="s">
        <v>27</v>
      </c>
      <c r="F83" s="32" t="s">
        <v>9</v>
      </c>
      <c r="G83" s="3"/>
      <c r="H83" s="3"/>
    </row>
    <row r="84" spans="1:8" x14ac:dyDescent="0.2">
      <c r="A84" s="8">
        <v>44301</v>
      </c>
      <c r="B84" s="9" t="s">
        <v>75</v>
      </c>
      <c r="C84" s="11">
        <v>-26600</v>
      </c>
      <c r="D84" s="41" t="s">
        <v>4</v>
      </c>
      <c r="E84" s="42" t="s">
        <v>27</v>
      </c>
      <c r="F84" s="32" t="s">
        <v>9</v>
      </c>
      <c r="G84" s="3"/>
      <c r="H84" s="3"/>
    </row>
    <row r="85" spans="1:8" x14ac:dyDescent="0.2">
      <c r="A85" s="8">
        <v>44331</v>
      </c>
      <c r="B85" s="9" t="s">
        <v>75</v>
      </c>
      <c r="C85" s="11">
        <v>-26600</v>
      </c>
      <c r="D85" s="41" t="s">
        <v>4</v>
      </c>
      <c r="E85" s="42" t="s">
        <v>27</v>
      </c>
      <c r="F85" s="32" t="s">
        <v>9</v>
      </c>
      <c r="G85" s="3"/>
      <c r="H85" s="3"/>
    </row>
    <row r="86" spans="1:8" x14ac:dyDescent="0.2">
      <c r="A86" s="8">
        <v>44336</v>
      </c>
      <c r="B86" s="9" t="s">
        <v>77</v>
      </c>
      <c r="C86" s="11">
        <v>18620</v>
      </c>
      <c r="D86" s="41" t="s">
        <v>4</v>
      </c>
      <c r="E86" s="42" t="s">
        <v>27</v>
      </c>
      <c r="F86" s="32" t="s">
        <v>9</v>
      </c>
      <c r="G86" s="3" t="s">
        <v>6</v>
      </c>
      <c r="H86" s="3" t="s">
        <v>38</v>
      </c>
    </row>
    <row r="87" spans="1:8" x14ac:dyDescent="0.2">
      <c r="A87" s="8">
        <v>44336</v>
      </c>
      <c r="B87" s="9" t="s">
        <v>77</v>
      </c>
      <c r="C87" s="11">
        <v>34580</v>
      </c>
      <c r="D87" s="41" t="s">
        <v>4</v>
      </c>
      <c r="E87" s="42" t="s">
        <v>27</v>
      </c>
      <c r="F87" s="32" t="s">
        <v>9</v>
      </c>
      <c r="G87" s="3" t="s">
        <v>7</v>
      </c>
      <c r="H87" s="3" t="s">
        <v>38</v>
      </c>
    </row>
    <row r="88" spans="1:8" x14ac:dyDescent="0.2">
      <c r="A88" s="4">
        <v>44336</v>
      </c>
      <c r="B88" s="4"/>
      <c r="C88" s="12">
        <v>0</v>
      </c>
      <c r="D88" s="35" t="s">
        <v>4</v>
      </c>
      <c r="E88" s="37" t="s">
        <v>11</v>
      </c>
      <c r="F88" s="36" t="s">
        <v>9</v>
      </c>
      <c r="G88" s="37"/>
      <c r="H88" s="37" t="s">
        <v>13</v>
      </c>
    </row>
    <row r="89" spans="1:8" x14ac:dyDescent="0.2">
      <c r="A89" s="8">
        <v>44347</v>
      </c>
      <c r="B89" s="9" t="s">
        <v>77</v>
      </c>
      <c r="C89" s="11">
        <v>23100</v>
      </c>
      <c r="D89" s="41" t="s">
        <v>4</v>
      </c>
      <c r="E89" s="42" t="s">
        <v>27</v>
      </c>
      <c r="F89" s="32" t="s">
        <v>9</v>
      </c>
      <c r="G89" s="3" t="s">
        <v>6</v>
      </c>
      <c r="H89" s="3" t="s">
        <v>14</v>
      </c>
    </row>
    <row r="90" spans="1:8" x14ac:dyDescent="0.2">
      <c r="A90" s="8">
        <v>44347</v>
      </c>
      <c r="B90" s="9" t="s">
        <v>77</v>
      </c>
      <c r="C90" s="11">
        <v>42900</v>
      </c>
      <c r="D90" s="41" t="s">
        <v>4</v>
      </c>
      <c r="E90" s="42" t="s">
        <v>27</v>
      </c>
      <c r="F90" s="32" t="s">
        <v>9</v>
      </c>
      <c r="G90" s="3" t="s">
        <v>7</v>
      </c>
      <c r="H90" s="3" t="s">
        <v>14</v>
      </c>
    </row>
    <row r="91" spans="1:8" x14ac:dyDescent="0.2">
      <c r="A91" s="8">
        <v>44362</v>
      </c>
      <c r="B91" s="9" t="s">
        <v>75</v>
      </c>
      <c r="C91" s="11">
        <v>-26600</v>
      </c>
      <c r="D91" s="41" t="s">
        <v>4</v>
      </c>
      <c r="E91" s="42" t="s">
        <v>27</v>
      </c>
      <c r="F91" s="32" t="s">
        <v>9</v>
      </c>
      <c r="G91" s="3"/>
      <c r="H91" s="3"/>
    </row>
    <row r="92" spans="1:8" x14ac:dyDescent="0.2">
      <c r="A92" s="8">
        <v>44411</v>
      </c>
      <c r="B92" s="9" t="s">
        <v>77</v>
      </c>
      <c r="C92" s="11">
        <v>20230</v>
      </c>
      <c r="D92" s="41" t="s">
        <v>4</v>
      </c>
      <c r="E92" s="42" t="s">
        <v>27</v>
      </c>
      <c r="F92" s="32" t="s">
        <v>9</v>
      </c>
      <c r="G92" s="3" t="s">
        <v>6</v>
      </c>
      <c r="H92" s="3" t="s">
        <v>15</v>
      </c>
    </row>
    <row r="93" spans="1:8" x14ac:dyDescent="0.2">
      <c r="A93" s="8">
        <v>44411</v>
      </c>
      <c r="B93" s="9" t="s">
        <v>77</v>
      </c>
      <c r="C93" s="11">
        <v>37570</v>
      </c>
      <c r="D93" s="41" t="s">
        <v>4</v>
      </c>
      <c r="E93" s="42" t="s">
        <v>27</v>
      </c>
      <c r="F93" s="32" t="s">
        <v>9</v>
      </c>
      <c r="G93" s="3" t="s">
        <v>7</v>
      </c>
      <c r="H93" s="3" t="s">
        <v>15</v>
      </c>
    </row>
    <row r="94" spans="1:8" x14ac:dyDescent="0.2">
      <c r="A94" s="8">
        <v>44391</v>
      </c>
      <c r="B94" s="9" t="s">
        <v>76</v>
      </c>
      <c r="C94" s="11">
        <v>44800</v>
      </c>
      <c r="D94" s="41" t="s">
        <v>4</v>
      </c>
      <c r="E94" s="42" t="s">
        <v>27</v>
      </c>
      <c r="F94" s="32" t="s">
        <v>48</v>
      </c>
      <c r="G94" s="3" t="s">
        <v>7</v>
      </c>
      <c r="H94" s="32" t="s">
        <v>47</v>
      </c>
    </row>
    <row r="95" spans="1:8" x14ac:dyDescent="0.2">
      <c r="A95" s="8">
        <v>44391</v>
      </c>
      <c r="B95" s="9" t="s">
        <v>77</v>
      </c>
      <c r="C95" s="11">
        <v>31200</v>
      </c>
      <c r="D95" s="41" t="s">
        <v>4</v>
      </c>
      <c r="E95" s="42" t="s">
        <v>27</v>
      </c>
      <c r="F95" s="32" t="s">
        <v>48</v>
      </c>
      <c r="G95" s="32" t="s">
        <v>6</v>
      </c>
      <c r="H95" s="9"/>
    </row>
    <row r="96" spans="1:8" x14ac:dyDescent="0.2">
      <c r="A96" s="8">
        <v>44409</v>
      </c>
      <c r="B96" s="9" t="s">
        <v>75</v>
      </c>
      <c r="C96" s="11">
        <v>-38000</v>
      </c>
      <c r="D96" s="41" t="s">
        <v>4</v>
      </c>
      <c r="E96" s="42" t="s">
        <v>27</v>
      </c>
      <c r="F96" s="32" t="s">
        <v>48</v>
      </c>
      <c r="G96" s="9"/>
      <c r="H96" s="9"/>
    </row>
    <row r="97" spans="1:8" x14ac:dyDescent="0.2">
      <c r="A97" s="8">
        <v>44440</v>
      </c>
      <c r="B97" s="9" t="s">
        <v>75</v>
      </c>
      <c r="C97" s="11">
        <v>-38000</v>
      </c>
      <c r="D97" s="41" t="s">
        <v>4</v>
      </c>
      <c r="E97" s="42" t="s">
        <v>27</v>
      </c>
      <c r="F97" s="32" t="s">
        <v>48</v>
      </c>
      <c r="G97" s="9"/>
      <c r="H97" s="9"/>
    </row>
    <row r="98" spans="1:8" x14ac:dyDescent="0.2">
      <c r="A98" s="8">
        <v>44810</v>
      </c>
      <c r="B98" s="9" t="s">
        <v>79</v>
      </c>
      <c r="C98" s="11">
        <v>51000</v>
      </c>
      <c r="D98" s="41" t="s">
        <v>4</v>
      </c>
      <c r="E98" s="42" t="s">
        <v>27</v>
      </c>
      <c r="F98" s="42" t="s">
        <v>78</v>
      </c>
      <c r="G98" s="42" t="s">
        <v>7</v>
      </c>
      <c r="H98" s="42" t="s">
        <v>50</v>
      </c>
    </row>
    <row r="99" spans="1:8" x14ac:dyDescent="0.2">
      <c r="A99" s="8">
        <v>44810</v>
      </c>
      <c r="B99" s="9" t="s">
        <v>76</v>
      </c>
      <c r="C99" s="11">
        <v>49000</v>
      </c>
      <c r="D99" s="41" t="s">
        <v>4</v>
      </c>
      <c r="E99" s="42" t="s">
        <v>27</v>
      </c>
      <c r="F99" s="42" t="s">
        <v>78</v>
      </c>
      <c r="G99" s="42" t="s">
        <v>7</v>
      </c>
      <c r="H99" s="42" t="s">
        <v>52</v>
      </c>
    </row>
    <row r="100" spans="1:8" x14ac:dyDescent="0.2">
      <c r="A100" s="8">
        <v>44817</v>
      </c>
      <c r="B100" s="9" t="s">
        <v>76</v>
      </c>
      <c r="C100" s="11">
        <v>8000</v>
      </c>
      <c r="D100" s="41" t="s">
        <v>4</v>
      </c>
      <c r="E100" s="42" t="s">
        <v>27</v>
      </c>
      <c r="F100" s="42" t="s">
        <v>78</v>
      </c>
      <c r="G100" s="42" t="s">
        <v>7</v>
      </c>
      <c r="H100" s="42" t="s">
        <v>53</v>
      </c>
    </row>
    <row r="101" spans="1:8" ht="17" x14ac:dyDescent="0.2">
      <c r="A101" s="8">
        <v>44817</v>
      </c>
      <c r="B101" s="9" t="s">
        <v>77</v>
      </c>
      <c r="C101" s="11">
        <v>45000</v>
      </c>
      <c r="D101" s="41" t="s">
        <v>4</v>
      </c>
      <c r="E101" s="42" t="s">
        <v>27</v>
      </c>
      <c r="F101" s="42" t="s">
        <v>78</v>
      </c>
      <c r="G101" s="42" t="s">
        <v>7</v>
      </c>
      <c r="H101" s="55" t="s">
        <v>54</v>
      </c>
    </row>
    <row r="102" spans="1:8" x14ac:dyDescent="0.2">
      <c r="A102" s="8">
        <v>44834</v>
      </c>
      <c r="B102" s="42" t="s">
        <v>75</v>
      </c>
      <c r="C102" s="11">
        <v>-51000</v>
      </c>
      <c r="D102" s="41" t="s">
        <v>4</v>
      </c>
      <c r="E102" s="42" t="s">
        <v>27</v>
      </c>
      <c r="F102" s="42" t="s">
        <v>78</v>
      </c>
      <c r="G102" s="42"/>
      <c r="H102" s="42"/>
    </row>
    <row r="103" spans="1:8" x14ac:dyDescent="0.2">
      <c r="A103" s="8">
        <v>44865</v>
      </c>
      <c r="B103" s="42" t="s">
        <v>75</v>
      </c>
      <c r="C103" s="11">
        <v>-51000</v>
      </c>
      <c r="D103" s="41" t="s">
        <v>4</v>
      </c>
      <c r="E103" s="42" t="s">
        <v>27</v>
      </c>
      <c r="F103" s="42" t="s">
        <v>78</v>
      </c>
      <c r="G103" s="42"/>
      <c r="H103" s="42"/>
    </row>
    <row r="104" spans="1:8" x14ac:dyDescent="0.2">
      <c r="A104" s="8">
        <v>44895</v>
      </c>
      <c r="B104" s="42" t="s">
        <v>75</v>
      </c>
      <c r="C104" s="11">
        <v>-51000</v>
      </c>
      <c r="D104" s="41" t="s">
        <v>4</v>
      </c>
      <c r="E104" s="42" t="s">
        <v>27</v>
      </c>
      <c r="F104" s="42" t="s">
        <v>78</v>
      </c>
      <c r="G104" s="42"/>
      <c r="H104" s="42"/>
    </row>
    <row r="105" spans="1:8" x14ac:dyDescent="0.2">
      <c r="A105" s="8">
        <v>44895</v>
      </c>
      <c r="B105" s="9" t="s">
        <v>77</v>
      </c>
      <c r="C105" s="11">
        <v>7875</v>
      </c>
      <c r="D105" s="41" t="s">
        <v>4</v>
      </c>
      <c r="E105" s="42" t="s">
        <v>27</v>
      </c>
      <c r="F105" s="42" t="s">
        <v>78</v>
      </c>
      <c r="G105" s="42" t="s">
        <v>6</v>
      </c>
      <c r="H105" s="42" t="s">
        <v>56</v>
      </c>
    </row>
    <row r="106" spans="1:8" x14ac:dyDescent="0.2">
      <c r="A106" s="8">
        <v>44895</v>
      </c>
      <c r="B106" s="9" t="s">
        <v>77</v>
      </c>
      <c r="C106" s="11">
        <v>14625</v>
      </c>
      <c r="D106" s="41" t="s">
        <v>4</v>
      </c>
      <c r="E106" s="42" t="s">
        <v>27</v>
      </c>
      <c r="F106" s="42" t="s">
        <v>78</v>
      </c>
      <c r="G106" s="42" t="s">
        <v>7</v>
      </c>
      <c r="H106" s="42"/>
    </row>
    <row r="107" spans="1:8" x14ac:dyDescent="0.2">
      <c r="A107" s="8">
        <v>44895</v>
      </c>
      <c r="B107" s="42" t="s">
        <v>76</v>
      </c>
      <c r="C107" s="11">
        <v>28500</v>
      </c>
      <c r="D107" s="41" t="s">
        <v>4</v>
      </c>
      <c r="E107" s="42" t="s">
        <v>27</v>
      </c>
      <c r="F107" s="42" t="s">
        <v>78</v>
      </c>
      <c r="G107" s="9"/>
      <c r="H107" s="42"/>
    </row>
    <row r="108" spans="1:8" x14ac:dyDescent="0.2">
      <c r="A108" s="8">
        <v>44926</v>
      </c>
      <c r="B108" s="42" t="s">
        <v>75</v>
      </c>
      <c r="C108" s="11">
        <v>-51000</v>
      </c>
      <c r="D108" s="41" t="s">
        <v>4</v>
      </c>
      <c r="E108" s="42" t="s">
        <v>27</v>
      </c>
      <c r="F108" s="42" t="s">
        <v>78</v>
      </c>
      <c r="G108" s="42"/>
      <c r="H108" s="42"/>
    </row>
    <row r="109" spans="1:8" x14ac:dyDescent="0.2">
      <c r="A109" s="8">
        <v>44922</v>
      </c>
      <c r="B109" s="42" t="s">
        <v>76</v>
      </c>
      <c r="C109" s="11">
        <v>28500</v>
      </c>
      <c r="D109" s="41" t="s">
        <v>4</v>
      </c>
      <c r="E109" s="42" t="s">
        <v>27</v>
      </c>
      <c r="F109" s="42" t="s">
        <v>78</v>
      </c>
      <c r="G109" s="9" t="s">
        <v>7</v>
      </c>
      <c r="H109" s="42"/>
    </row>
    <row r="110" spans="1:8" x14ac:dyDescent="0.2">
      <c r="A110" s="8">
        <v>44922</v>
      </c>
      <c r="B110" s="9" t="s">
        <v>77</v>
      </c>
      <c r="C110" s="11">
        <v>7875</v>
      </c>
      <c r="D110" s="41" t="s">
        <v>4</v>
      </c>
      <c r="E110" s="42" t="s">
        <v>27</v>
      </c>
      <c r="F110" s="42" t="s">
        <v>78</v>
      </c>
      <c r="G110" s="32" t="s">
        <v>6</v>
      </c>
      <c r="H110" s="42"/>
    </row>
    <row r="111" spans="1:8" x14ac:dyDescent="0.2">
      <c r="A111" s="8">
        <v>44922</v>
      </c>
      <c r="B111" s="9" t="s">
        <v>77</v>
      </c>
      <c r="C111" s="11">
        <v>14625</v>
      </c>
      <c r="D111" s="41" t="s">
        <v>4</v>
      </c>
      <c r="E111" s="42" t="s">
        <v>27</v>
      </c>
      <c r="F111" s="42" t="s">
        <v>78</v>
      </c>
      <c r="G111" s="32" t="s">
        <v>7</v>
      </c>
      <c r="H111" s="42"/>
    </row>
    <row r="112" spans="1:8" x14ac:dyDescent="0.2">
      <c r="A112" s="8">
        <v>44957</v>
      </c>
      <c r="B112" s="42" t="s">
        <v>75</v>
      </c>
      <c r="C112" s="11">
        <v>-51000</v>
      </c>
      <c r="D112" s="41" t="s">
        <v>4</v>
      </c>
      <c r="E112" s="42" t="s">
        <v>27</v>
      </c>
      <c r="F112" s="42" t="s">
        <v>78</v>
      </c>
      <c r="G112" s="9"/>
      <c r="H112" s="42"/>
    </row>
    <row r="113" spans="1:8" x14ac:dyDescent="0.2">
      <c r="A113" s="8">
        <v>44958</v>
      </c>
      <c r="B113" s="9" t="s">
        <v>77</v>
      </c>
      <c r="C113" s="11">
        <v>7875</v>
      </c>
      <c r="D113" s="41" t="s">
        <v>4</v>
      </c>
      <c r="E113" s="42" t="s">
        <v>27</v>
      </c>
      <c r="F113" s="42" t="s">
        <v>78</v>
      </c>
      <c r="G113" s="32" t="s">
        <v>6</v>
      </c>
      <c r="H113" s="42"/>
    </row>
    <row r="114" spans="1:8" x14ac:dyDescent="0.2">
      <c r="A114" s="8">
        <v>44958</v>
      </c>
      <c r="B114" s="9" t="s">
        <v>77</v>
      </c>
      <c r="C114" s="11">
        <v>14625</v>
      </c>
      <c r="D114" s="41" t="s">
        <v>4</v>
      </c>
      <c r="E114" s="42" t="s">
        <v>27</v>
      </c>
      <c r="F114" s="42" t="s">
        <v>78</v>
      </c>
      <c r="G114" s="32" t="s">
        <v>7</v>
      </c>
      <c r="H114" s="42"/>
    </row>
    <row r="115" spans="1:8" x14ac:dyDescent="0.2">
      <c r="A115" s="8">
        <v>44958</v>
      </c>
      <c r="B115" s="42" t="s">
        <v>76</v>
      </c>
      <c r="C115" s="11">
        <v>28500</v>
      </c>
      <c r="D115" s="41" t="s">
        <v>4</v>
      </c>
      <c r="E115" s="42" t="s">
        <v>27</v>
      </c>
      <c r="F115" s="42" t="s">
        <v>78</v>
      </c>
      <c r="G115" s="9" t="s">
        <v>7</v>
      </c>
      <c r="H115" s="42"/>
    </row>
    <row r="116" spans="1:8" x14ac:dyDescent="0.2">
      <c r="A116" s="8">
        <v>44985</v>
      </c>
      <c r="B116" s="42" t="s">
        <v>75</v>
      </c>
      <c r="C116" s="11">
        <v>-51000</v>
      </c>
      <c r="D116" s="41" t="s">
        <v>4</v>
      </c>
      <c r="E116" s="42" t="s">
        <v>27</v>
      </c>
      <c r="F116" s="42" t="s">
        <v>78</v>
      </c>
      <c r="G116" s="9"/>
      <c r="H116" s="42"/>
    </row>
    <row r="117" spans="1:8" x14ac:dyDescent="0.2">
      <c r="A117" s="8">
        <v>44986</v>
      </c>
      <c r="B117" s="9" t="s">
        <v>77</v>
      </c>
      <c r="C117" s="11">
        <v>7875</v>
      </c>
      <c r="D117" s="41" t="s">
        <v>4</v>
      </c>
      <c r="E117" s="42" t="s">
        <v>27</v>
      </c>
      <c r="F117" s="42" t="s">
        <v>78</v>
      </c>
      <c r="G117" s="32" t="s">
        <v>6</v>
      </c>
      <c r="H117" s="42"/>
    </row>
    <row r="118" spans="1:8" x14ac:dyDescent="0.2">
      <c r="A118" s="8">
        <v>44986</v>
      </c>
      <c r="B118" s="9" t="s">
        <v>77</v>
      </c>
      <c r="C118" s="11">
        <v>14625</v>
      </c>
      <c r="D118" s="41" t="s">
        <v>4</v>
      </c>
      <c r="E118" s="42" t="s">
        <v>27</v>
      </c>
      <c r="F118" s="42" t="s">
        <v>78</v>
      </c>
      <c r="G118" s="32" t="s">
        <v>7</v>
      </c>
      <c r="H118" s="42"/>
    </row>
    <row r="119" spans="1:8" x14ac:dyDescent="0.2">
      <c r="A119" s="8">
        <v>44986</v>
      </c>
      <c r="B119" s="42" t="s">
        <v>76</v>
      </c>
      <c r="C119" s="11">
        <v>28500</v>
      </c>
      <c r="D119" s="41" t="s">
        <v>4</v>
      </c>
      <c r="E119" s="42" t="s">
        <v>27</v>
      </c>
      <c r="F119" s="42" t="s">
        <v>78</v>
      </c>
      <c r="G119" s="9" t="s">
        <v>7</v>
      </c>
      <c r="H119" s="42"/>
    </row>
    <row r="120" spans="1:8" x14ac:dyDescent="0.2">
      <c r="A120" s="8">
        <v>45016</v>
      </c>
      <c r="B120" s="42" t="s">
        <v>75</v>
      </c>
      <c r="C120" s="11">
        <v>-51000</v>
      </c>
      <c r="D120" s="41" t="s">
        <v>4</v>
      </c>
      <c r="E120" s="42" t="s">
        <v>27</v>
      </c>
      <c r="F120" s="42" t="s">
        <v>78</v>
      </c>
      <c r="G120" s="9"/>
      <c r="H120" s="42"/>
    </row>
    <row r="121" spans="1:8" x14ac:dyDescent="0.2">
      <c r="A121" s="8">
        <v>45019</v>
      </c>
      <c r="B121" s="9" t="s">
        <v>77</v>
      </c>
      <c r="C121" s="11">
        <v>7875</v>
      </c>
      <c r="D121" s="41" t="s">
        <v>4</v>
      </c>
      <c r="E121" s="42" t="s">
        <v>27</v>
      </c>
      <c r="F121" s="42" t="s">
        <v>78</v>
      </c>
      <c r="G121" s="32" t="s">
        <v>6</v>
      </c>
      <c r="H121" s="42"/>
    </row>
    <row r="122" spans="1:8" x14ac:dyDescent="0.2">
      <c r="A122" s="8">
        <v>45019</v>
      </c>
      <c r="B122" s="9" t="s">
        <v>77</v>
      </c>
      <c r="C122" s="11">
        <v>14625</v>
      </c>
      <c r="D122" s="41" t="s">
        <v>4</v>
      </c>
      <c r="E122" s="42" t="s">
        <v>27</v>
      </c>
      <c r="F122" s="42" t="s">
        <v>78</v>
      </c>
      <c r="G122" s="32" t="s">
        <v>7</v>
      </c>
      <c r="H122" s="42"/>
    </row>
    <row r="123" spans="1:8" x14ac:dyDescent="0.2">
      <c r="A123" s="8">
        <v>45019</v>
      </c>
      <c r="B123" s="42" t="s">
        <v>76</v>
      </c>
      <c r="C123" s="11">
        <v>28500</v>
      </c>
      <c r="D123" s="41" t="s">
        <v>4</v>
      </c>
      <c r="E123" s="42" t="s">
        <v>27</v>
      </c>
      <c r="F123" s="42" t="s">
        <v>78</v>
      </c>
      <c r="G123" s="9" t="s">
        <v>7</v>
      </c>
      <c r="H123" s="42"/>
    </row>
    <row r="124" spans="1:8" x14ac:dyDescent="0.2">
      <c r="A124" s="8">
        <v>45046</v>
      </c>
      <c r="B124" s="42" t="s">
        <v>75</v>
      </c>
      <c r="C124" s="11">
        <v>-51000</v>
      </c>
      <c r="D124" s="41" t="s">
        <v>4</v>
      </c>
      <c r="E124" s="42" t="s">
        <v>27</v>
      </c>
      <c r="F124" s="42" t="s">
        <v>78</v>
      </c>
      <c r="G124" s="9"/>
      <c r="H124" s="42"/>
    </row>
    <row r="125" spans="1:8" x14ac:dyDescent="0.2">
      <c r="A125" s="8">
        <v>45048</v>
      </c>
      <c r="B125" s="9" t="s">
        <v>77</v>
      </c>
      <c r="C125" s="11">
        <v>7875</v>
      </c>
      <c r="D125" s="41" t="s">
        <v>4</v>
      </c>
      <c r="E125" s="42" t="s">
        <v>27</v>
      </c>
      <c r="F125" s="42" t="s">
        <v>78</v>
      </c>
      <c r="G125" s="32" t="s">
        <v>6</v>
      </c>
      <c r="H125" s="42"/>
    </row>
    <row r="126" spans="1:8" x14ac:dyDescent="0.2">
      <c r="A126" s="8">
        <v>45048</v>
      </c>
      <c r="B126" s="9" t="s">
        <v>77</v>
      </c>
      <c r="C126" s="11">
        <v>14625</v>
      </c>
      <c r="D126" s="41" t="s">
        <v>4</v>
      </c>
      <c r="E126" s="42" t="s">
        <v>27</v>
      </c>
      <c r="F126" s="42" t="s">
        <v>78</v>
      </c>
      <c r="G126" s="32" t="s">
        <v>7</v>
      </c>
      <c r="H126" s="42"/>
    </row>
    <row r="127" spans="1:8" x14ac:dyDescent="0.2">
      <c r="A127" s="8">
        <v>45047</v>
      </c>
      <c r="B127" s="42" t="s">
        <v>76</v>
      </c>
      <c r="C127" s="11">
        <v>28500</v>
      </c>
      <c r="D127" s="41" t="s">
        <v>4</v>
      </c>
      <c r="E127" s="42" t="s">
        <v>27</v>
      </c>
      <c r="F127" s="42" t="s">
        <v>78</v>
      </c>
      <c r="G127" s="9" t="s">
        <v>7</v>
      </c>
      <c r="H127" s="42"/>
    </row>
    <row r="128" spans="1:8" x14ac:dyDescent="0.2">
      <c r="A128" s="8">
        <v>45077</v>
      </c>
      <c r="B128" s="42" t="s">
        <v>75</v>
      </c>
      <c r="C128" s="11">
        <v>-51000</v>
      </c>
      <c r="D128" s="41" t="s">
        <v>4</v>
      </c>
      <c r="E128" s="42" t="s">
        <v>27</v>
      </c>
      <c r="F128" s="42" t="s">
        <v>78</v>
      </c>
      <c r="G128" s="9"/>
      <c r="H128" s="42"/>
    </row>
    <row r="129" spans="1:8" x14ac:dyDescent="0.2">
      <c r="A129" s="8">
        <v>45079</v>
      </c>
      <c r="B129" s="9" t="s">
        <v>77</v>
      </c>
      <c r="C129" s="11">
        <v>7875</v>
      </c>
      <c r="D129" s="41" t="s">
        <v>4</v>
      </c>
      <c r="E129" s="42" t="s">
        <v>27</v>
      </c>
      <c r="F129" s="42" t="s">
        <v>78</v>
      </c>
      <c r="G129" s="32" t="s">
        <v>6</v>
      </c>
      <c r="H129" s="42"/>
    </row>
    <row r="130" spans="1:8" x14ac:dyDescent="0.2">
      <c r="A130" s="8">
        <v>45079</v>
      </c>
      <c r="B130" s="9" t="s">
        <v>77</v>
      </c>
      <c r="C130" s="11">
        <v>14625</v>
      </c>
      <c r="D130" s="41" t="s">
        <v>4</v>
      </c>
      <c r="E130" s="42" t="s">
        <v>27</v>
      </c>
      <c r="F130" s="42" t="s">
        <v>78</v>
      </c>
      <c r="G130" s="32" t="s">
        <v>7</v>
      </c>
      <c r="H130" s="42"/>
    </row>
    <row r="131" spans="1:8" x14ac:dyDescent="0.2">
      <c r="A131" s="8">
        <v>45079</v>
      </c>
      <c r="B131" s="42" t="s">
        <v>76</v>
      </c>
      <c r="C131" s="11">
        <v>28500</v>
      </c>
      <c r="D131" s="41" t="s">
        <v>4</v>
      </c>
      <c r="E131" s="42" t="s">
        <v>27</v>
      </c>
      <c r="F131" s="42" t="s">
        <v>78</v>
      </c>
      <c r="G131" s="9" t="s">
        <v>7</v>
      </c>
      <c r="H131" s="42"/>
    </row>
    <row r="132" spans="1:8" x14ac:dyDescent="0.2">
      <c r="A132" s="8">
        <v>45107</v>
      </c>
      <c r="B132" s="42" t="s">
        <v>75</v>
      </c>
      <c r="C132" s="11">
        <v>-51000</v>
      </c>
      <c r="D132" s="41" t="s">
        <v>4</v>
      </c>
      <c r="E132" s="42" t="s">
        <v>27</v>
      </c>
      <c r="F132" s="42" t="s">
        <v>78</v>
      </c>
      <c r="G132" s="9"/>
      <c r="H132" s="42"/>
    </row>
    <row r="133" spans="1:8" x14ac:dyDescent="0.2">
      <c r="A133" s="8">
        <v>45110</v>
      </c>
      <c r="B133" s="9" t="s">
        <v>77</v>
      </c>
      <c r="C133" s="11">
        <v>7875</v>
      </c>
      <c r="D133" s="41" t="s">
        <v>4</v>
      </c>
      <c r="E133" s="42" t="s">
        <v>27</v>
      </c>
      <c r="F133" s="42" t="s">
        <v>78</v>
      </c>
      <c r="G133" s="32" t="s">
        <v>6</v>
      </c>
      <c r="H133" s="42"/>
    </row>
    <row r="134" spans="1:8" x14ac:dyDescent="0.2">
      <c r="A134" s="8">
        <v>45110</v>
      </c>
      <c r="B134" s="9" t="s">
        <v>77</v>
      </c>
      <c r="C134" s="11">
        <v>14625</v>
      </c>
      <c r="D134" s="41" t="s">
        <v>4</v>
      </c>
      <c r="E134" s="42" t="s">
        <v>27</v>
      </c>
      <c r="F134" s="42" t="s">
        <v>78</v>
      </c>
      <c r="G134" s="32" t="s">
        <v>7</v>
      </c>
      <c r="H134" s="42"/>
    </row>
    <row r="135" spans="1:8" x14ac:dyDescent="0.2">
      <c r="A135" s="8">
        <v>45111</v>
      </c>
      <c r="B135" s="42" t="s">
        <v>76</v>
      </c>
      <c r="C135" s="11">
        <v>28500</v>
      </c>
      <c r="D135" s="41" t="s">
        <v>4</v>
      </c>
      <c r="E135" s="42" t="s">
        <v>27</v>
      </c>
      <c r="F135" s="42" t="s">
        <v>78</v>
      </c>
      <c r="G135" s="9" t="s">
        <v>7</v>
      </c>
      <c r="H135" s="42"/>
    </row>
    <row r="136" spans="1:8" x14ac:dyDescent="0.2">
      <c r="A136" s="8">
        <v>45138</v>
      </c>
      <c r="B136" s="42" t="s">
        <v>75</v>
      </c>
      <c r="C136" s="11">
        <v>-51000</v>
      </c>
      <c r="D136" s="41" t="s">
        <v>4</v>
      </c>
      <c r="E136" s="42" t="s">
        <v>27</v>
      </c>
      <c r="F136" s="42" t="s">
        <v>78</v>
      </c>
      <c r="G136" s="9"/>
      <c r="H136" s="42"/>
    </row>
    <row r="137" spans="1:8" x14ac:dyDescent="0.2">
      <c r="A137" s="8">
        <v>45139</v>
      </c>
      <c r="B137" s="9" t="s">
        <v>77</v>
      </c>
      <c r="C137" s="11">
        <v>7875</v>
      </c>
      <c r="D137" s="41" t="s">
        <v>4</v>
      </c>
      <c r="E137" s="42" t="s">
        <v>27</v>
      </c>
      <c r="F137" s="42" t="s">
        <v>78</v>
      </c>
      <c r="G137" s="32" t="s">
        <v>6</v>
      </c>
      <c r="H137" s="42"/>
    </row>
    <row r="138" spans="1:8" x14ac:dyDescent="0.2">
      <c r="A138" s="8">
        <v>45139</v>
      </c>
      <c r="B138" s="9" t="s">
        <v>77</v>
      </c>
      <c r="C138" s="11">
        <v>14625</v>
      </c>
      <c r="D138" s="41" t="s">
        <v>4</v>
      </c>
      <c r="E138" s="42" t="s">
        <v>27</v>
      </c>
      <c r="F138" s="42" t="s">
        <v>78</v>
      </c>
      <c r="G138" s="32" t="s">
        <v>7</v>
      </c>
      <c r="H138" s="42"/>
    </row>
    <row r="139" spans="1:8" x14ac:dyDescent="0.2">
      <c r="A139" s="8">
        <v>45139</v>
      </c>
      <c r="B139" s="42" t="s">
        <v>76</v>
      </c>
      <c r="C139" s="11">
        <v>28500</v>
      </c>
      <c r="D139" s="41" t="s">
        <v>4</v>
      </c>
      <c r="E139" s="42" t="s">
        <v>27</v>
      </c>
      <c r="F139" s="42" t="s">
        <v>78</v>
      </c>
      <c r="G139" s="9" t="s">
        <v>7</v>
      </c>
      <c r="H139" s="42"/>
    </row>
    <row r="140" spans="1:8" x14ac:dyDescent="0.2">
      <c r="A140" s="8">
        <v>45169</v>
      </c>
      <c r="B140" s="42" t="s">
        <v>75</v>
      </c>
      <c r="C140" s="11">
        <v>-51000</v>
      </c>
      <c r="D140" s="41" t="s">
        <v>4</v>
      </c>
      <c r="E140" s="42" t="s">
        <v>27</v>
      </c>
      <c r="F140" s="42" t="s">
        <v>78</v>
      </c>
      <c r="G140" s="9"/>
      <c r="H140" s="42"/>
    </row>
    <row r="141" spans="1:8" x14ac:dyDescent="0.2">
      <c r="A141" s="8">
        <v>45170</v>
      </c>
      <c r="B141" s="9" t="s">
        <v>77</v>
      </c>
      <c r="C141" s="11">
        <v>7875</v>
      </c>
      <c r="D141" s="41" t="s">
        <v>4</v>
      </c>
      <c r="E141" s="42" t="s">
        <v>27</v>
      </c>
      <c r="F141" s="42" t="s">
        <v>78</v>
      </c>
      <c r="G141" s="32" t="s">
        <v>6</v>
      </c>
      <c r="H141" s="42"/>
    </row>
    <row r="142" spans="1:8" x14ac:dyDescent="0.2">
      <c r="A142" s="8">
        <v>45170</v>
      </c>
      <c r="B142" s="9" t="s">
        <v>77</v>
      </c>
      <c r="C142" s="11">
        <v>14625</v>
      </c>
      <c r="D142" s="41" t="s">
        <v>4</v>
      </c>
      <c r="E142" s="42" t="s">
        <v>27</v>
      </c>
      <c r="F142" s="42" t="s">
        <v>78</v>
      </c>
      <c r="G142" s="32" t="s">
        <v>7</v>
      </c>
      <c r="H142" s="42"/>
    </row>
    <row r="143" spans="1:8" x14ac:dyDescent="0.2">
      <c r="A143" s="8">
        <v>45170</v>
      </c>
      <c r="B143" s="42" t="s">
        <v>76</v>
      </c>
      <c r="C143" s="11">
        <v>28500</v>
      </c>
      <c r="D143" s="41" t="s">
        <v>4</v>
      </c>
      <c r="E143" s="42" t="s">
        <v>27</v>
      </c>
      <c r="F143" s="42" t="s">
        <v>78</v>
      </c>
      <c r="G143" s="9" t="s">
        <v>7</v>
      </c>
      <c r="H143" s="42"/>
    </row>
    <row r="144" spans="1:8" s="1" customFormat="1" x14ac:dyDescent="0.2">
      <c r="A144" s="8">
        <v>45199</v>
      </c>
      <c r="B144" s="42" t="s">
        <v>75</v>
      </c>
      <c r="C144" s="11">
        <v>-3100</v>
      </c>
      <c r="D144" s="41" t="s">
        <v>81</v>
      </c>
      <c r="E144" s="42" t="s">
        <v>27</v>
      </c>
      <c r="F144" s="42" t="s">
        <v>78</v>
      </c>
      <c r="G144" s="9" t="s">
        <v>80</v>
      </c>
      <c r="H144" s="42"/>
    </row>
    <row r="145" spans="1:8" x14ac:dyDescent="0.2">
      <c r="A145" s="8">
        <v>45216</v>
      </c>
      <c r="B145" s="42" t="s">
        <v>77</v>
      </c>
      <c r="C145" s="11">
        <v>312.5</v>
      </c>
      <c r="D145" s="41" t="s">
        <v>81</v>
      </c>
      <c r="E145" s="42" t="s">
        <v>27</v>
      </c>
      <c r="F145" s="42" t="s">
        <v>78</v>
      </c>
      <c r="G145" s="9" t="s">
        <v>6</v>
      </c>
      <c r="H145" s="42"/>
    </row>
    <row r="146" spans="1:8" x14ac:dyDescent="0.2">
      <c r="A146" s="8">
        <v>45216</v>
      </c>
      <c r="B146" s="42" t="s">
        <v>77</v>
      </c>
      <c r="C146" s="11">
        <v>580.36</v>
      </c>
      <c r="D146" s="41" t="s">
        <v>81</v>
      </c>
      <c r="E146" s="42" t="s">
        <v>27</v>
      </c>
      <c r="F146" s="42" t="s">
        <v>78</v>
      </c>
      <c r="G146" s="9" t="s">
        <v>7</v>
      </c>
      <c r="H146" s="42"/>
    </row>
    <row r="147" spans="1:8" x14ac:dyDescent="0.2">
      <c r="A147" s="8">
        <v>45223</v>
      </c>
      <c r="B147" s="42" t="s">
        <v>76</v>
      </c>
      <c r="C147" s="11">
        <v>2207.14</v>
      </c>
      <c r="D147" s="41" t="s">
        <v>81</v>
      </c>
      <c r="E147" s="42" t="s">
        <v>27</v>
      </c>
      <c r="F147" s="42" t="s">
        <v>78</v>
      </c>
      <c r="G147" s="9" t="s">
        <v>7</v>
      </c>
      <c r="H147" s="42" t="s">
        <v>58</v>
      </c>
    </row>
    <row r="148" spans="1:8" x14ac:dyDescent="0.2">
      <c r="A148" s="8">
        <v>45230</v>
      </c>
      <c r="B148" s="42" t="s">
        <v>75</v>
      </c>
      <c r="C148" s="11">
        <v>-3100</v>
      </c>
      <c r="D148" s="41" t="s">
        <v>81</v>
      </c>
      <c r="E148" s="42" t="s">
        <v>27</v>
      </c>
      <c r="F148" s="42" t="s">
        <v>78</v>
      </c>
      <c r="G148" s="9" t="s">
        <v>80</v>
      </c>
      <c r="H148" s="42"/>
    </row>
    <row r="149" spans="1:8" x14ac:dyDescent="0.2">
      <c r="A149" s="8">
        <v>45233</v>
      </c>
      <c r="B149" s="42" t="s">
        <v>77</v>
      </c>
      <c r="C149" s="11">
        <v>308.42</v>
      </c>
      <c r="D149" s="41" t="s">
        <v>81</v>
      </c>
      <c r="E149" s="42" t="s">
        <v>27</v>
      </c>
      <c r="F149" s="42" t="s">
        <v>78</v>
      </c>
      <c r="G149" s="9" t="s">
        <v>6</v>
      </c>
      <c r="H149" s="42"/>
    </row>
    <row r="150" spans="1:8" x14ac:dyDescent="0.2">
      <c r="A150" s="8">
        <v>45233</v>
      </c>
      <c r="B150" s="42" t="s">
        <v>77</v>
      </c>
      <c r="C150" s="11">
        <v>572.79</v>
      </c>
      <c r="D150" s="41" t="s">
        <v>81</v>
      </c>
      <c r="E150" s="42" t="s">
        <v>27</v>
      </c>
      <c r="F150" s="42" t="s">
        <v>78</v>
      </c>
      <c r="G150" s="9" t="s">
        <v>7</v>
      </c>
      <c r="H150" s="42"/>
    </row>
    <row r="151" spans="1:8" x14ac:dyDescent="0.2">
      <c r="A151" s="8">
        <v>45233</v>
      </c>
      <c r="B151" s="42" t="s">
        <v>76</v>
      </c>
      <c r="C151" s="11">
        <v>2218.79</v>
      </c>
      <c r="D151" s="41" t="s">
        <v>81</v>
      </c>
      <c r="E151" s="42" t="s">
        <v>27</v>
      </c>
      <c r="F151" s="42" t="s">
        <v>78</v>
      </c>
      <c r="G151" s="9" t="s">
        <v>7</v>
      </c>
      <c r="H151" s="42" t="s">
        <v>60</v>
      </c>
    </row>
    <row r="152" spans="1:8" x14ac:dyDescent="0.2">
      <c r="A152" s="8">
        <v>45260</v>
      </c>
      <c r="B152" s="42" t="s">
        <v>75</v>
      </c>
      <c r="C152" s="11">
        <v>-3100</v>
      </c>
      <c r="D152" s="41" t="s">
        <v>81</v>
      </c>
      <c r="E152" s="42" t="s">
        <v>27</v>
      </c>
      <c r="F152" s="42" t="s">
        <v>78</v>
      </c>
      <c r="G152" s="9" t="s">
        <v>80</v>
      </c>
      <c r="H152" s="42"/>
    </row>
    <row r="153" spans="1:8" x14ac:dyDescent="0.2">
      <c r="A153" s="8">
        <v>45265</v>
      </c>
      <c r="B153" s="42" t="s">
        <v>77</v>
      </c>
      <c r="C153" s="11">
        <v>302.45999999999998</v>
      </c>
      <c r="D153" s="41" t="s">
        <v>81</v>
      </c>
      <c r="E153" s="42" t="s">
        <v>27</v>
      </c>
      <c r="F153" s="42" t="s">
        <v>78</v>
      </c>
      <c r="G153" s="9" t="s">
        <v>6</v>
      </c>
      <c r="H153" s="42"/>
    </row>
    <row r="154" spans="1:8" x14ac:dyDescent="0.2">
      <c r="A154" s="8">
        <v>45265</v>
      </c>
      <c r="B154" s="42" t="s">
        <v>77</v>
      </c>
      <c r="C154" s="11">
        <v>561.70000000000005</v>
      </c>
      <c r="D154" s="41" t="s">
        <v>81</v>
      </c>
      <c r="E154" s="42" t="s">
        <v>27</v>
      </c>
      <c r="F154" s="42" t="s">
        <v>78</v>
      </c>
      <c r="G154" s="9" t="s">
        <v>7</v>
      </c>
      <c r="H154" s="42"/>
    </row>
    <row r="155" spans="1:8" x14ac:dyDescent="0.2">
      <c r="A155" s="8">
        <v>45265</v>
      </c>
      <c r="B155" s="42" t="s">
        <v>76</v>
      </c>
      <c r="C155" s="11">
        <v>2235.84</v>
      </c>
      <c r="D155" s="41" t="s">
        <v>81</v>
      </c>
      <c r="E155" s="42" t="s">
        <v>27</v>
      </c>
      <c r="F155" s="42" t="s">
        <v>78</v>
      </c>
      <c r="G155" s="9" t="s">
        <v>7</v>
      </c>
      <c r="H155" s="42" t="s">
        <v>62</v>
      </c>
    </row>
    <row r="156" spans="1:8" x14ac:dyDescent="0.2">
      <c r="A156" s="8">
        <v>45291</v>
      </c>
      <c r="B156" s="42" t="s">
        <v>75</v>
      </c>
      <c r="C156" s="11">
        <v>-3100</v>
      </c>
      <c r="D156" s="41" t="s">
        <v>81</v>
      </c>
      <c r="E156" s="42" t="s">
        <v>27</v>
      </c>
      <c r="F156" s="42" t="s">
        <v>78</v>
      </c>
      <c r="G156" s="9" t="s">
        <v>80</v>
      </c>
      <c r="H156" s="42"/>
    </row>
    <row r="157" spans="1:8" x14ac:dyDescent="0.2">
      <c r="A157" s="8">
        <v>45296</v>
      </c>
      <c r="B157" s="42" t="s">
        <v>77</v>
      </c>
      <c r="C157" s="11">
        <v>293.3</v>
      </c>
      <c r="D157" s="41" t="s">
        <v>81</v>
      </c>
      <c r="E157" s="42" t="s">
        <v>27</v>
      </c>
      <c r="F157" s="42" t="s">
        <v>78</v>
      </c>
      <c r="G157" s="9" t="s">
        <v>6</v>
      </c>
      <c r="H157" s="42"/>
    </row>
    <row r="158" spans="1:8" x14ac:dyDescent="0.2">
      <c r="A158" s="8">
        <v>45296</v>
      </c>
      <c r="B158" s="42" t="s">
        <v>77</v>
      </c>
      <c r="C158" s="11">
        <v>544.70000000000005</v>
      </c>
      <c r="D158" s="41" t="s">
        <v>81</v>
      </c>
      <c r="E158" s="42" t="s">
        <v>27</v>
      </c>
      <c r="F158" s="42" t="s">
        <v>78</v>
      </c>
      <c r="G158" s="9" t="s">
        <v>7</v>
      </c>
      <c r="H158" s="42"/>
    </row>
    <row r="159" spans="1:8" x14ac:dyDescent="0.2">
      <c r="A159" s="8">
        <v>45296</v>
      </c>
      <c r="B159" s="42" t="s">
        <v>76</v>
      </c>
      <c r="C159" s="11">
        <v>2262</v>
      </c>
      <c r="D159" s="41" t="s">
        <v>81</v>
      </c>
      <c r="E159" s="42" t="s">
        <v>27</v>
      </c>
      <c r="F159" s="42" t="s">
        <v>78</v>
      </c>
      <c r="G159" s="9" t="s">
        <v>7</v>
      </c>
      <c r="H159" s="42" t="s">
        <v>63</v>
      </c>
    </row>
    <row r="160" spans="1:8" x14ac:dyDescent="0.2">
      <c r="A160" s="8">
        <v>45322</v>
      </c>
      <c r="B160" s="42" t="s">
        <v>75</v>
      </c>
      <c r="C160" s="11">
        <v>-3100</v>
      </c>
      <c r="D160" s="41" t="s">
        <v>81</v>
      </c>
      <c r="E160" s="42" t="s">
        <v>27</v>
      </c>
      <c r="F160" s="42" t="s">
        <v>78</v>
      </c>
      <c r="G160" s="9" t="s">
        <v>80</v>
      </c>
      <c r="H160" s="42"/>
    </row>
    <row r="161" spans="1:8" x14ac:dyDescent="0.2">
      <c r="A161" s="8">
        <v>45329</v>
      </c>
      <c r="B161" s="42" t="s">
        <v>77</v>
      </c>
      <c r="C161" s="11">
        <v>285.60000000000002</v>
      </c>
      <c r="D161" s="41" t="s">
        <v>81</v>
      </c>
      <c r="E161" s="42" t="s">
        <v>27</v>
      </c>
      <c r="F161" s="42" t="s">
        <v>78</v>
      </c>
      <c r="G161" s="9" t="s">
        <v>6</v>
      </c>
      <c r="H161" s="42"/>
    </row>
    <row r="162" spans="1:8" x14ac:dyDescent="0.2">
      <c r="A162" s="8">
        <v>45329</v>
      </c>
      <c r="B162" s="42" t="s">
        <v>77</v>
      </c>
      <c r="C162" s="11">
        <v>530.4</v>
      </c>
      <c r="D162" s="41" t="s">
        <v>81</v>
      </c>
      <c r="E162" s="42" t="s">
        <v>27</v>
      </c>
      <c r="F162" s="42" t="s">
        <v>78</v>
      </c>
      <c r="G162" s="9" t="s">
        <v>7</v>
      </c>
      <c r="H162" s="42"/>
    </row>
    <row r="163" spans="1:8" x14ac:dyDescent="0.2">
      <c r="A163" s="8">
        <v>45329</v>
      </c>
      <c r="B163" s="42" t="s">
        <v>76</v>
      </c>
      <c r="C163" s="11">
        <v>2284</v>
      </c>
      <c r="D163" s="41" t="s">
        <v>81</v>
      </c>
      <c r="E163" s="42" t="s">
        <v>27</v>
      </c>
      <c r="F163" s="42" t="s">
        <v>78</v>
      </c>
      <c r="G163" s="9" t="s">
        <v>7</v>
      </c>
      <c r="H163" s="42" t="s">
        <v>65</v>
      </c>
    </row>
    <row r="164" spans="1:8" x14ac:dyDescent="0.2">
      <c r="A164" s="8">
        <v>45351</v>
      </c>
      <c r="B164" s="42" t="s">
        <v>75</v>
      </c>
      <c r="C164" s="11">
        <v>-3100</v>
      </c>
      <c r="D164" s="41" t="s">
        <v>81</v>
      </c>
      <c r="E164" s="42" t="s">
        <v>27</v>
      </c>
      <c r="F164" s="42" t="s">
        <v>78</v>
      </c>
      <c r="G164" s="9" t="s">
        <v>80</v>
      </c>
      <c r="H164" s="42"/>
    </row>
    <row r="165" spans="1:8" x14ac:dyDescent="0.2">
      <c r="A165" s="8">
        <v>45329</v>
      </c>
      <c r="B165" s="42" t="s">
        <v>77</v>
      </c>
      <c r="C165" s="11">
        <v>270.17</v>
      </c>
      <c r="D165" s="41" t="s">
        <v>81</v>
      </c>
      <c r="E165" s="42" t="s">
        <v>27</v>
      </c>
      <c r="F165" s="42" t="s">
        <v>78</v>
      </c>
      <c r="G165" s="9" t="s">
        <v>6</v>
      </c>
      <c r="H165" s="42"/>
    </row>
    <row r="166" spans="1:8" x14ac:dyDescent="0.2">
      <c r="A166" s="8">
        <v>45329</v>
      </c>
      <c r="B166" s="42" t="s">
        <v>77</v>
      </c>
      <c r="C166" s="11">
        <v>501.74</v>
      </c>
      <c r="D166" s="41" t="s">
        <v>81</v>
      </c>
      <c r="E166" s="42" t="s">
        <v>27</v>
      </c>
      <c r="F166" s="42" t="s">
        <v>78</v>
      </c>
      <c r="G166" s="9" t="s">
        <v>7</v>
      </c>
      <c r="H166" s="42"/>
    </row>
    <row r="167" spans="1:8" x14ac:dyDescent="0.2">
      <c r="A167" s="8">
        <v>45329</v>
      </c>
      <c r="B167" s="42" t="s">
        <v>76</v>
      </c>
      <c r="C167" s="11">
        <v>2328.09</v>
      </c>
      <c r="D167" s="41" t="s">
        <v>81</v>
      </c>
      <c r="E167" s="42" t="s">
        <v>27</v>
      </c>
      <c r="F167" s="42" t="s">
        <v>78</v>
      </c>
      <c r="G167" s="9" t="s">
        <v>7</v>
      </c>
      <c r="H167" s="42" t="s">
        <v>66</v>
      </c>
    </row>
    <row r="168" spans="1:8" x14ac:dyDescent="0.2">
      <c r="A168" s="8">
        <v>45382</v>
      </c>
      <c r="B168" s="42" t="s">
        <v>75</v>
      </c>
      <c r="C168" s="11">
        <v>-3100</v>
      </c>
      <c r="D168" s="41" t="s">
        <v>81</v>
      </c>
      <c r="E168" s="42" t="s">
        <v>27</v>
      </c>
      <c r="F168" s="42" t="s">
        <v>78</v>
      </c>
      <c r="G168" s="9" t="s">
        <v>80</v>
      </c>
      <c r="H168" s="42"/>
    </row>
    <row r="169" spans="1:8" x14ac:dyDescent="0.2">
      <c r="A169" s="8">
        <v>45385</v>
      </c>
      <c r="B169" s="42" t="s">
        <v>77</v>
      </c>
      <c r="C169" s="11">
        <v>270.89999999999998</v>
      </c>
      <c r="D169" s="41" t="s">
        <v>81</v>
      </c>
      <c r="E169" s="42" t="s">
        <v>27</v>
      </c>
      <c r="F169" s="42" t="s">
        <v>78</v>
      </c>
      <c r="G169" s="9" t="s">
        <v>6</v>
      </c>
      <c r="H169" s="42"/>
    </row>
    <row r="170" spans="1:8" x14ac:dyDescent="0.2">
      <c r="A170" s="8">
        <v>45385</v>
      </c>
      <c r="B170" s="42" t="s">
        <v>77</v>
      </c>
      <c r="C170" s="11">
        <v>503.09</v>
      </c>
      <c r="D170" s="41" t="s">
        <v>81</v>
      </c>
      <c r="E170" s="42" t="s">
        <v>27</v>
      </c>
      <c r="F170" s="42" t="s">
        <v>78</v>
      </c>
      <c r="G170" s="9" t="s">
        <v>7</v>
      </c>
      <c r="H170" s="42"/>
    </row>
    <row r="171" spans="1:8" x14ac:dyDescent="0.2">
      <c r="A171" s="8">
        <v>45385</v>
      </c>
      <c r="B171" s="42" t="s">
        <v>76</v>
      </c>
      <c r="C171" s="11">
        <v>2326.0100000000002</v>
      </c>
      <c r="D171" s="41" t="s">
        <v>81</v>
      </c>
      <c r="E171" s="42" t="s">
        <v>27</v>
      </c>
      <c r="F171" s="42" t="s">
        <v>78</v>
      </c>
      <c r="G171" s="9" t="s">
        <v>7</v>
      </c>
      <c r="H171" s="42" t="s">
        <v>67</v>
      </c>
    </row>
    <row r="172" spans="1:8" x14ac:dyDescent="0.2">
      <c r="A172" s="8">
        <v>45412</v>
      </c>
      <c r="B172" s="42" t="s">
        <v>75</v>
      </c>
      <c r="C172" s="11">
        <v>-3100</v>
      </c>
      <c r="D172" s="41" t="s">
        <v>81</v>
      </c>
      <c r="E172" s="42" t="s">
        <v>27</v>
      </c>
      <c r="F172" s="42" t="s">
        <v>78</v>
      </c>
      <c r="G172" s="9" t="s">
        <v>80</v>
      </c>
      <c r="H172" s="42"/>
    </row>
    <row r="173" spans="1:8" x14ac:dyDescent="0.2">
      <c r="A173" s="8">
        <v>45414</v>
      </c>
      <c r="B173" s="42" t="s">
        <v>77</v>
      </c>
      <c r="C173" s="11">
        <v>271.25</v>
      </c>
      <c r="D173" s="41" t="s">
        <v>81</v>
      </c>
      <c r="E173" s="42" t="s">
        <v>27</v>
      </c>
      <c r="F173" s="42" t="s">
        <v>78</v>
      </c>
      <c r="G173" s="9" t="s">
        <v>6</v>
      </c>
      <c r="H173" s="42"/>
    </row>
    <row r="174" spans="1:8" x14ac:dyDescent="0.2">
      <c r="A174" s="8">
        <v>45414</v>
      </c>
      <c r="B174" s="42" t="s">
        <v>77</v>
      </c>
      <c r="C174" s="11">
        <v>503.75</v>
      </c>
      <c r="D174" s="41" t="s">
        <v>81</v>
      </c>
      <c r="E174" s="42" t="s">
        <v>27</v>
      </c>
      <c r="F174" s="42" t="s">
        <v>78</v>
      </c>
      <c r="G174" s="9" t="s">
        <v>7</v>
      </c>
      <c r="H174" s="42"/>
    </row>
    <row r="175" spans="1:8" x14ac:dyDescent="0.2">
      <c r="A175" s="8">
        <v>45414</v>
      </c>
      <c r="B175" s="42" t="s">
        <v>76</v>
      </c>
      <c r="C175" s="11">
        <v>2325</v>
      </c>
      <c r="D175" s="41" t="s">
        <v>81</v>
      </c>
      <c r="E175" s="42" t="s">
        <v>27</v>
      </c>
      <c r="F175" s="42" t="s">
        <v>78</v>
      </c>
      <c r="G175" s="9" t="s">
        <v>7</v>
      </c>
      <c r="H175" s="42" t="s">
        <v>68</v>
      </c>
    </row>
    <row r="176" spans="1:8" x14ac:dyDescent="0.2">
      <c r="A176" s="8">
        <v>45443</v>
      </c>
      <c r="B176" s="42" t="s">
        <v>75</v>
      </c>
      <c r="C176" s="11">
        <v>-3100</v>
      </c>
      <c r="D176" s="41" t="s">
        <v>81</v>
      </c>
      <c r="E176" s="42" t="s">
        <v>27</v>
      </c>
      <c r="F176" s="42" t="s">
        <v>78</v>
      </c>
      <c r="G176" s="9" t="s">
        <v>80</v>
      </c>
      <c r="H176" s="42"/>
    </row>
    <row r="177" spans="1:8" x14ac:dyDescent="0.2">
      <c r="A177" s="8">
        <v>45450</v>
      </c>
      <c r="B177" s="42" t="s">
        <v>77</v>
      </c>
      <c r="C177" s="11">
        <v>272.07</v>
      </c>
      <c r="D177" s="41" t="s">
        <v>81</v>
      </c>
      <c r="E177" s="42" t="s">
        <v>27</v>
      </c>
      <c r="F177" s="42" t="s">
        <v>78</v>
      </c>
      <c r="G177" s="9" t="s">
        <v>6</v>
      </c>
      <c r="H177" s="42"/>
    </row>
    <row r="178" spans="1:8" x14ac:dyDescent="0.2">
      <c r="A178" s="8">
        <v>45450</v>
      </c>
      <c r="B178" s="42" t="s">
        <v>77</v>
      </c>
      <c r="C178" s="11">
        <v>505.26</v>
      </c>
      <c r="D178" s="41" t="s">
        <v>81</v>
      </c>
      <c r="E178" s="42" t="s">
        <v>27</v>
      </c>
      <c r="F178" s="42" t="s">
        <v>78</v>
      </c>
      <c r="G178" s="9" t="s">
        <v>7</v>
      </c>
      <c r="H178" s="42"/>
    </row>
    <row r="179" spans="1:8" x14ac:dyDescent="0.2">
      <c r="A179" s="8">
        <v>45450</v>
      </c>
      <c r="B179" s="42" t="s">
        <v>76</v>
      </c>
      <c r="C179" s="11">
        <v>2322.67</v>
      </c>
      <c r="D179" s="41" t="s">
        <v>81</v>
      </c>
      <c r="E179" s="42" t="s">
        <v>27</v>
      </c>
      <c r="F179" s="42" t="s">
        <v>78</v>
      </c>
      <c r="G179" s="9" t="s">
        <v>7</v>
      </c>
      <c r="H179" s="42" t="s">
        <v>68</v>
      </c>
    </row>
    <row r="180" spans="1:8" x14ac:dyDescent="0.2">
      <c r="A180" s="8">
        <v>45473</v>
      </c>
      <c r="B180" s="42" t="s">
        <v>75</v>
      </c>
      <c r="C180" s="11">
        <v>-3100</v>
      </c>
      <c r="D180" s="41" t="s">
        <v>81</v>
      </c>
      <c r="E180" s="42" t="s">
        <v>27</v>
      </c>
      <c r="F180" s="42" t="s">
        <v>78</v>
      </c>
      <c r="G180" s="9" t="s">
        <v>80</v>
      </c>
      <c r="H180" s="42"/>
    </row>
    <row r="181" spans="1:8" x14ac:dyDescent="0.2">
      <c r="A181" s="8">
        <v>45477</v>
      </c>
      <c r="B181" s="42" t="s">
        <v>77</v>
      </c>
      <c r="C181" s="11">
        <v>268.57</v>
      </c>
      <c r="D181" s="41" t="s">
        <v>81</v>
      </c>
      <c r="E181" s="42" t="s">
        <v>27</v>
      </c>
      <c r="F181" s="42" t="s">
        <v>78</v>
      </c>
      <c r="G181" s="9" t="s">
        <v>6</v>
      </c>
      <c r="H181" s="42"/>
    </row>
    <row r="182" spans="1:8" x14ac:dyDescent="0.2">
      <c r="A182" s="8">
        <v>45477</v>
      </c>
      <c r="B182" s="42" t="s">
        <v>77</v>
      </c>
      <c r="C182" s="11">
        <v>498.76</v>
      </c>
      <c r="D182" s="41" t="s">
        <v>81</v>
      </c>
      <c r="E182" s="42" t="s">
        <v>27</v>
      </c>
      <c r="F182" s="42" t="s">
        <v>78</v>
      </c>
      <c r="G182" s="9" t="s">
        <v>7</v>
      </c>
      <c r="H182" s="42"/>
    </row>
    <row r="183" spans="1:8" x14ac:dyDescent="0.2">
      <c r="A183" s="8">
        <v>45478</v>
      </c>
      <c r="B183" s="42" t="s">
        <v>76</v>
      </c>
      <c r="C183" s="11">
        <v>2332.67</v>
      </c>
      <c r="D183" s="41" t="s">
        <v>81</v>
      </c>
      <c r="E183" s="42" t="s">
        <v>27</v>
      </c>
      <c r="F183" s="42" t="s">
        <v>78</v>
      </c>
      <c r="G183" s="9" t="s">
        <v>7</v>
      </c>
      <c r="H183" s="42" t="s">
        <v>68</v>
      </c>
    </row>
    <row r="184" spans="1:8" x14ac:dyDescent="0.2">
      <c r="A184" s="8">
        <v>45504</v>
      </c>
      <c r="B184" s="42" t="s">
        <v>75</v>
      </c>
      <c r="C184" s="11">
        <v>-3100</v>
      </c>
      <c r="D184" s="41" t="s">
        <v>81</v>
      </c>
      <c r="E184" s="42" t="s">
        <v>27</v>
      </c>
      <c r="F184" s="42" t="s">
        <v>78</v>
      </c>
      <c r="G184" s="9" t="s">
        <v>80</v>
      </c>
      <c r="H184" s="42"/>
    </row>
    <row r="185" spans="1:8" x14ac:dyDescent="0.2">
      <c r="A185" s="8">
        <v>45512</v>
      </c>
      <c r="B185" s="42" t="s">
        <v>77</v>
      </c>
      <c r="C185" s="11">
        <v>263.73</v>
      </c>
      <c r="D185" s="41" t="s">
        <v>81</v>
      </c>
      <c r="E185" s="42" t="s">
        <v>27</v>
      </c>
      <c r="F185" s="42" t="s">
        <v>78</v>
      </c>
      <c r="G185" s="9" t="s">
        <v>6</v>
      </c>
      <c r="H185" s="42"/>
    </row>
    <row r="186" spans="1:8" x14ac:dyDescent="0.2">
      <c r="A186" s="8">
        <v>45512</v>
      </c>
      <c r="B186" s="42" t="s">
        <v>77</v>
      </c>
      <c r="C186" s="11">
        <v>489.79</v>
      </c>
      <c r="D186" s="41" t="s">
        <v>81</v>
      </c>
      <c r="E186" s="42" t="s">
        <v>27</v>
      </c>
      <c r="F186" s="42" t="s">
        <v>78</v>
      </c>
      <c r="G186" s="9" t="s">
        <v>7</v>
      </c>
      <c r="H186" s="42"/>
    </row>
    <row r="187" spans="1:8" x14ac:dyDescent="0.2">
      <c r="A187" s="8">
        <v>45512</v>
      </c>
      <c r="B187" s="42" t="s">
        <v>76</v>
      </c>
      <c r="C187" s="11">
        <v>2346.48</v>
      </c>
      <c r="D187" s="41" t="s">
        <v>81</v>
      </c>
      <c r="E187" s="42" t="s">
        <v>27</v>
      </c>
      <c r="F187" s="42" t="s">
        <v>78</v>
      </c>
      <c r="G187" s="9" t="s">
        <v>7</v>
      </c>
      <c r="H187" s="42" t="s">
        <v>69</v>
      </c>
    </row>
    <row r="188" spans="1:8" x14ac:dyDescent="0.2">
      <c r="A188" s="8">
        <v>45535</v>
      </c>
      <c r="B188" s="42" t="s">
        <v>75</v>
      </c>
      <c r="C188" s="11">
        <v>-3100</v>
      </c>
      <c r="D188" s="41" t="s">
        <v>81</v>
      </c>
      <c r="E188" s="42" t="s">
        <v>27</v>
      </c>
      <c r="F188" s="42" t="s">
        <v>78</v>
      </c>
      <c r="G188" s="9" t="s">
        <v>80</v>
      </c>
      <c r="H188" s="42"/>
    </row>
    <row r="189" spans="1:8" x14ac:dyDescent="0.2">
      <c r="A189" s="8">
        <v>45540</v>
      </c>
      <c r="B189" s="42" t="s">
        <v>77</v>
      </c>
      <c r="C189" s="11">
        <v>257.83999999999997</v>
      </c>
      <c r="D189" s="41" t="s">
        <v>81</v>
      </c>
      <c r="E189" s="42" t="s">
        <v>27</v>
      </c>
      <c r="F189" s="42" t="s">
        <v>78</v>
      </c>
      <c r="G189" s="9" t="s">
        <v>6</v>
      </c>
      <c r="H189" s="42"/>
    </row>
    <row r="190" spans="1:8" x14ac:dyDescent="0.2">
      <c r="A190" s="8">
        <v>45540</v>
      </c>
      <c r="B190" s="42" t="s">
        <v>77</v>
      </c>
      <c r="C190" s="11">
        <v>478.85</v>
      </c>
      <c r="D190" s="41" t="s">
        <v>81</v>
      </c>
      <c r="E190" s="42" t="s">
        <v>27</v>
      </c>
      <c r="F190" s="42" t="s">
        <v>78</v>
      </c>
      <c r="G190" s="9" t="s">
        <v>7</v>
      </c>
      <c r="H190" s="42"/>
    </row>
    <row r="191" spans="1:8" x14ac:dyDescent="0.2">
      <c r="A191" s="8">
        <v>45540</v>
      </c>
      <c r="B191" s="42" t="s">
        <v>76</v>
      </c>
      <c r="C191" s="11">
        <v>2363.31</v>
      </c>
      <c r="D191" s="41" t="s">
        <v>81</v>
      </c>
      <c r="E191" s="42" t="s">
        <v>27</v>
      </c>
      <c r="F191" s="42" t="s">
        <v>78</v>
      </c>
      <c r="G191" s="9" t="s">
        <v>7</v>
      </c>
      <c r="H191" s="42"/>
    </row>
    <row r="192" spans="1:8" x14ac:dyDescent="0.2">
      <c r="A192" s="8">
        <v>45565</v>
      </c>
      <c r="B192" s="42" t="s">
        <v>75</v>
      </c>
      <c r="C192" s="11">
        <v>-3100</v>
      </c>
      <c r="D192" s="41" t="s">
        <v>81</v>
      </c>
      <c r="E192" s="42" t="s">
        <v>27</v>
      </c>
      <c r="F192" s="42" t="s">
        <v>78</v>
      </c>
      <c r="G192" s="9" t="s">
        <v>80</v>
      </c>
      <c r="H192" s="42" t="s">
        <v>70</v>
      </c>
    </row>
    <row r="193" spans="1:8" x14ac:dyDescent="0.2">
      <c r="A193" s="8">
        <v>45567</v>
      </c>
      <c r="B193" s="42" t="s">
        <v>77</v>
      </c>
      <c r="C193" s="11">
        <v>255.42</v>
      </c>
      <c r="D193" s="41" t="s">
        <v>81</v>
      </c>
      <c r="E193" s="42" t="s">
        <v>27</v>
      </c>
      <c r="F193" s="42" t="s">
        <v>78</v>
      </c>
      <c r="G193" s="9" t="s">
        <v>6</v>
      </c>
      <c r="H193" s="42"/>
    </row>
    <row r="194" spans="1:8" x14ac:dyDescent="0.2">
      <c r="A194" s="8">
        <v>45567</v>
      </c>
      <c r="B194" s="42" t="s">
        <v>77</v>
      </c>
      <c r="C194" s="11">
        <v>474.34</v>
      </c>
      <c r="D194" s="41" t="s">
        <v>81</v>
      </c>
      <c r="E194" s="42" t="s">
        <v>27</v>
      </c>
      <c r="F194" s="42" t="s">
        <v>78</v>
      </c>
      <c r="G194" s="9" t="s">
        <v>7</v>
      </c>
      <c r="H194" s="42"/>
    </row>
    <row r="195" spans="1:8" x14ac:dyDescent="0.2">
      <c r="A195" s="8">
        <v>45567</v>
      </c>
      <c r="B195" s="42" t="s">
        <v>76</v>
      </c>
      <c r="C195" s="11">
        <v>2370.2399999999998</v>
      </c>
      <c r="D195" s="41" t="s">
        <v>81</v>
      </c>
      <c r="E195" s="42" t="s">
        <v>27</v>
      </c>
      <c r="F195" s="42" t="s">
        <v>78</v>
      </c>
      <c r="G195" s="9" t="s">
        <v>7</v>
      </c>
      <c r="H195" s="42"/>
    </row>
    <row r="196" spans="1:8" s="1" customFormat="1" x14ac:dyDescent="0.2">
      <c r="A196" s="8">
        <v>45596</v>
      </c>
      <c r="B196" s="42" t="s">
        <v>75</v>
      </c>
      <c r="C196" s="11">
        <v>-3400</v>
      </c>
      <c r="D196" s="41" t="s">
        <v>81</v>
      </c>
      <c r="E196" s="42" t="s">
        <v>27</v>
      </c>
      <c r="F196" s="42" t="s">
        <v>78</v>
      </c>
      <c r="G196" s="9" t="s">
        <v>80</v>
      </c>
      <c r="H196" s="42"/>
    </row>
    <row r="197" spans="1:8" x14ac:dyDescent="0.2">
      <c r="A197" s="8">
        <v>45604</v>
      </c>
      <c r="B197" s="42" t="s">
        <v>77</v>
      </c>
      <c r="C197" s="11">
        <v>255.36</v>
      </c>
      <c r="D197" s="41" t="s">
        <v>81</v>
      </c>
      <c r="E197" s="42" t="s">
        <v>27</v>
      </c>
      <c r="F197" s="42" t="s">
        <v>78</v>
      </c>
      <c r="G197" s="9" t="s">
        <v>6</v>
      </c>
      <c r="H197" s="42"/>
    </row>
    <row r="198" spans="1:8" x14ac:dyDescent="0.2">
      <c r="A198" s="8">
        <v>45604</v>
      </c>
      <c r="B198" s="42" t="s">
        <v>77</v>
      </c>
      <c r="C198" s="11">
        <v>474.25</v>
      </c>
      <c r="D198" s="41" t="s">
        <v>81</v>
      </c>
      <c r="E198" s="42" t="s">
        <v>27</v>
      </c>
      <c r="F198" s="42" t="s">
        <v>78</v>
      </c>
      <c r="G198" s="9" t="s">
        <v>7</v>
      </c>
      <c r="H198" s="42"/>
    </row>
    <row r="199" spans="1:8" x14ac:dyDescent="0.2">
      <c r="A199" s="8">
        <v>45604</v>
      </c>
      <c r="B199" s="42" t="s">
        <v>76</v>
      </c>
      <c r="C199" s="11">
        <v>2670.39</v>
      </c>
      <c r="D199" s="41" t="s">
        <v>81</v>
      </c>
      <c r="E199" s="42" t="s">
        <v>27</v>
      </c>
      <c r="F199" s="42" t="s">
        <v>78</v>
      </c>
      <c r="G199" s="9" t="s">
        <v>7</v>
      </c>
      <c r="H199" s="42"/>
    </row>
    <row r="200" spans="1:8" x14ac:dyDescent="0.2">
      <c r="A200" s="8">
        <v>45626</v>
      </c>
      <c r="B200" s="42" t="s">
        <v>75</v>
      </c>
      <c r="C200" s="11">
        <v>-3400</v>
      </c>
      <c r="D200" s="41" t="s">
        <v>81</v>
      </c>
      <c r="E200" s="42" t="s">
        <v>27</v>
      </c>
      <c r="F200" s="42" t="s">
        <v>78</v>
      </c>
      <c r="G200" s="9" t="s">
        <v>80</v>
      </c>
      <c r="H200" s="42"/>
    </row>
    <row r="201" spans="1:8" x14ac:dyDescent="0.2">
      <c r="A201" s="8">
        <v>45631</v>
      </c>
      <c r="B201" s="42" t="s">
        <v>77</v>
      </c>
      <c r="C201" s="11">
        <v>252.55</v>
      </c>
      <c r="D201" s="41" t="s">
        <v>81</v>
      </c>
      <c r="E201" s="42" t="s">
        <v>27</v>
      </c>
      <c r="F201" s="42" t="s">
        <v>78</v>
      </c>
      <c r="G201" s="9" t="s">
        <v>6</v>
      </c>
      <c r="H201" s="42"/>
    </row>
    <row r="202" spans="1:8" x14ac:dyDescent="0.2">
      <c r="A202" s="8">
        <v>45631</v>
      </c>
      <c r="B202" s="42" t="s">
        <v>77</v>
      </c>
      <c r="C202" s="11">
        <v>469.01</v>
      </c>
      <c r="D202" s="41" t="s">
        <v>81</v>
      </c>
      <c r="E202" s="42" t="s">
        <v>27</v>
      </c>
      <c r="F202" s="42" t="s">
        <v>78</v>
      </c>
      <c r="G202" s="9" t="s">
        <v>7</v>
      </c>
      <c r="H202" s="42"/>
    </row>
    <row r="203" spans="1:8" x14ac:dyDescent="0.2">
      <c r="A203" s="8">
        <v>45631</v>
      </c>
      <c r="B203" s="42" t="s">
        <v>76</v>
      </c>
      <c r="C203" s="11">
        <v>2678.44</v>
      </c>
      <c r="D203" s="41" t="s">
        <v>81</v>
      </c>
      <c r="E203" s="42" t="s">
        <v>27</v>
      </c>
      <c r="F203" s="42" t="s">
        <v>78</v>
      </c>
      <c r="G203" s="9" t="s">
        <v>7</v>
      </c>
      <c r="H203" s="42"/>
    </row>
    <row r="204" spans="1:8" x14ac:dyDescent="0.2">
      <c r="A204" s="8">
        <v>45657</v>
      </c>
      <c r="B204" s="42" t="s">
        <v>75</v>
      </c>
      <c r="C204" s="11">
        <v>-3400</v>
      </c>
      <c r="D204" s="41" t="s">
        <v>81</v>
      </c>
      <c r="E204" s="42" t="s">
        <v>27</v>
      </c>
      <c r="F204" s="42" t="s">
        <v>78</v>
      </c>
      <c r="G204" s="9" t="s">
        <v>80</v>
      </c>
      <c r="H204" s="42"/>
    </row>
    <row r="205" spans="1:8" x14ac:dyDescent="0.2">
      <c r="A205" s="8">
        <v>45664</v>
      </c>
      <c r="B205" s="42" t="s">
        <v>77</v>
      </c>
      <c r="C205" s="11">
        <v>247.92</v>
      </c>
      <c r="D205" s="41" t="s">
        <v>81</v>
      </c>
      <c r="E205" s="42" t="s">
        <v>27</v>
      </c>
      <c r="F205" s="42" t="s">
        <v>78</v>
      </c>
      <c r="G205" s="9" t="s">
        <v>6</v>
      </c>
      <c r="H205" s="42"/>
    </row>
    <row r="206" spans="1:8" x14ac:dyDescent="0.2">
      <c r="A206" s="8">
        <v>45664</v>
      </c>
      <c r="B206" s="42" t="s">
        <v>77</v>
      </c>
      <c r="C206" s="11">
        <v>460.41</v>
      </c>
      <c r="D206" s="41" t="s">
        <v>81</v>
      </c>
      <c r="E206" s="42" t="s">
        <v>27</v>
      </c>
      <c r="F206" s="42" t="s">
        <v>78</v>
      </c>
      <c r="G206" s="9" t="s">
        <v>7</v>
      </c>
      <c r="H206" s="42"/>
    </row>
    <row r="207" spans="1:8" x14ac:dyDescent="0.2">
      <c r="A207" s="8">
        <v>45664</v>
      </c>
      <c r="B207" s="42" t="s">
        <v>76</v>
      </c>
      <c r="C207" s="11">
        <v>2691.67</v>
      </c>
      <c r="D207" s="41" t="s">
        <v>81</v>
      </c>
      <c r="E207" s="42" t="s">
        <v>27</v>
      </c>
      <c r="F207" s="42" t="s">
        <v>78</v>
      </c>
      <c r="G207" s="9" t="s">
        <v>7</v>
      </c>
      <c r="H207" s="42"/>
    </row>
    <row r="208" spans="1:8" x14ac:dyDescent="0.2">
      <c r="A208" s="8">
        <v>45688</v>
      </c>
      <c r="B208" s="42" t="s">
        <v>75</v>
      </c>
      <c r="C208" s="11">
        <v>-3400</v>
      </c>
      <c r="D208" s="41" t="s">
        <v>81</v>
      </c>
      <c r="E208" s="42" t="s">
        <v>27</v>
      </c>
      <c r="F208" s="42" t="s">
        <v>78</v>
      </c>
      <c r="G208" s="9" t="s">
        <v>80</v>
      </c>
      <c r="H208" s="42"/>
    </row>
    <row r="209" spans="1:8" x14ac:dyDescent="0.2">
      <c r="A209" s="8">
        <v>45694</v>
      </c>
      <c r="B209" s="42" t="s">
        <v>77</v>
      </c>
      <c r="C209" s="11">
        <v>242.86</v>
      </c>
      <c r="D209" s="41" t="s">
        <v>81</v>
      </c>
      <c r="E209" s="42" t="s">
        <v>27</v>
      </c>
      <c r="F209" s="42" t="s">
        <v>78</v>
      </c>
      <c r="G209" s="9" t="s">
        <v>6</v>
      </c>
      <c r="H209" s="42"/>
    </row>
    <row r="210" spans="1:8" x14ac:dyDescent="0.2">
      <c r="A210" s="8">
        <v>45694</v>
      </c>
      <c r="B210" s="42" t="s">
        <v>77</v>
      </c>
      <c r="C210" s="11">
        <v>451.02</v>
      </c>
      <c r="D210" s="41" t="s">
        <v>81</v>
      </c>
      <c r="E210" s="42" t="s">
        <v>27</v>
      </c>
      <c r="F210" s="42" t="s">
        <v>78</v>
      </c>
      <c r="G210" s="9" t="s">
        <v>7</v>
      </c>
      <c r="H210" s="42"/>
    </row>
    <row r="211" spans="1:8" x14ac:dyDescent="0.2">
      <c r="A211" s="8">
        <v>45694</v>
      </c>
      <c r="B211" s="42" t="s">
        <v>76</v>
      </c>
      <c r="C211" s="11">
        <v>2706.12</v>
      </c>
      <c r="D211" s="41" t="s">
        <v>81</v>
      </c>
      <c r="E211" s="42" t="s">
        <v>27</v>
      </c>
      <c r="F211" s="42" t="s">
        <v>78</v>
      </c>
      <c r="G211" s="9" t="s">
        <v>7</v>
      </c>
      <c r="H211" s="42"/>
    </row>
    <row r="212" spans="1:8" x14ac:dyDescent="0.2">
      <c r="A212" s="8">
        <v>45716</v>
      </c>
      <c r="B212" s="42" t="s">
        <v>75</v>
      </c>
      <c r="C212" s="11">
        <v>-3400</v>
      </c>
      <c r="D212" s="41" t="s">
        <v>81</v>
      </c>
      <c r="E212" s="42" t="s">
        <v>27</v>
      </c>
      <c r="F212" s="42" t="s">
        <v>78</v>
      </c>
      <c r="G212" s="9" t="s">
        <v>80</v>
      </c>
      <c r="H212" s="42"/>
    </row>
    <row r="213" spans="1:8" x14ac:dyDescent="0.2">
      <c r="A213" s="8">
        <v>45723</v>
      </c>
      <c r="B213" s="42" t="s">
        <v>77</v>
      </c>
      <c r="C213" s="11">
        <v>239.73</v>
      </c>
      <c r="D213" s="41" t="s">
        <v>81</v>
      </c>
      <c r="E213" s="42" t="s">
        <v>27</v>
      </c>
      <c r="F213" s="42" t="s">
        <v>78</v>
      </c>
      <c r="G213" s="9" t="s">
        <v>6</v>
      </c>
      <c r="H213" s="42"/>
    </row>
    <row r="214" spans="1:8" x14ac:dyDescent="0.2">
      <c r="A214" s="8">
        <v>45723</v>
      </c>
      <c r="B214" s="42" t="s">
        <v>77</v>
      </c>
      <c r="C214" s="11">
        <v>445.2</v>
      </c>
      <c r="D214" s="41" t="s">
        <v>81</v>
      </c>
      <c r="E214" s="42" t="s">
        <v>27</v>
      </c>
      <c r="F214" s="42" t="s">
        <v>78</v>
      </c>
      <c r="G214" s="9" t="s">
        <v>7</v>
      </c>
      <c r="H214" s="42"/>
    </row>
    <row r="215" spans="1:8" x14ac:dyDescent="0.2">
      <c r="A215" s="8">
        <v>45723</v>
      </c>
      <c r="B215" s="42" t="s">
        <v>76</v>
      </c>
      <c r="C215" s="11">
        <v>2715.07</v>
      </c>
      <c r="D215" s="41" t="s">
        <v>81</v>
      </c>
      <c r="E215" s="42" t="s">
        <v>27</v>
      </c>
      <c r="F215" s="42" t="s">
        <v>78</v>
      </c>
      <c r="G215" s="9" t="s">
        <v>7</v>
      </c>
      <c r="H215" s="42"/>
    </row>
    <row r="216" spans="1:8" x14ac:dyDescent="0.2">
      <c r="A216" s="8">
        <v>45747</v>
      </c>
      <c r="B216" s="42" t="s">
        <v>75</v>
      </c>
      <c r="C216" s="11">
        <v>-3400</v>
      </c>
      <c r="D216" s="41" t="s">
        <v>81</v>
      </c>
      <c r="E216" s="42" t="s">
        <v>27</v>
      </c>
      <c r="F216" s="42" t="s">
        <v>78</v>
      </c>
      <c r="G216" s="9" t="s">
        <v>80</v>
      </c>
      <c r="H216" s="42"/>
    </row>
    <row r="217" spans="1:8" x14ac:dyDescent="0.2">
      <c r="A217" s="8">
        <v>45758</v>
      </c>
      <c r="B217" s="42" t="s">
        <v>77</v>
      </c>
      <c r="C217" s="11">
        <v>229.91</v>
      </c>
      <c r="D217" s="41" t="s">
        <v>81</v>
      </c>
      <c r="E217" s="42" t="s">
        <v>27</v>
      </c>
      <c r="F217" s="42" t="s">
        <v>78</v>
      </c>
      <c r="G217" s="9" t="s">
        <v>6</v>
      </c>
      <c r="H217" s="42"/>
    </row>
    <row r="218" spans="1:8" x14ac:dyDescent="0.2">
      <c r="A218" s="8">
        <v>45758</v>
      </c>
      <c r="B218" s="42" t="s">
        <v>77</v>
      </c>
      <c r="C218" s="11">
        <v>426.97</v>
      </c>
      <c r="D218" s="41" t="s">
        <v>81</v>
      </c>
      <c r="E218" s="42" t="s">
        <v>27</v>
      </c>
      <c r="F218" s="42" t="s">
        <v>78</v>
      </c>
      <c r="G218" s="9" t="s">
        <v>7</v>
      </c>
      <c r="H218" s="42"/>
    </row>
    <row r="219" spans="1:8" x14ac:dyDescent="0.2">
      <c r="A219" s="8">
        <v>45758</v>
      </c>
      <c r="B219" s="42" t="s">
        <v>76</v>
      </c>
      <c r="C219" s="11">
        <v>2743.12</v>
      </c>
      <c r="D219" s="41" t="s">
        <v>81</v>
      </c>
      <c r="E219" s="42" t="s">
        <v>27</v>
      </c>
      <c r="F219" s="42" t="s">
        <v>78</v>
      </c>
      <c r="G219" s="9" t="s">
        <v>7</v>
      </c>
      <c r="H219" s="42"/>
    </row>
    <row r="220" spans="1:8" x14ac:dyDescent="0.2">
      <c r="A220" s="8">
        <v>45777</v>
      </c>
      <c r="B220" s="42" t="s">
        <v>75</v>
      </c>
      <c r="C220" s="11">
        <v>-3400</v>
      </c>
      <c r="D220" s="41" t="s">
        <v>81</v>
      </c>
      <c r="E220" s="42" t="s">
        <v>27</v>
      </c>
      <c r="F220" s="42" t="s">
        <v>78</v>
      </c>
      <c r="G220" s="9" t="s">
        <v>80</v>
      </c>
      <c r="H220" s="42"/>
    </row>
    <row r="221" spans="1:8" x14ac:dyDescent="0.2">
      <c r="A221" s="8">
        <v>45789</v>
      </c>
      <c r="B221" s="42" t="s">
        <v>77</v>
      </c>
      <c r="C221" s="11">
        <v>225.55</v>
      </c>
      <c r="D221" s="41" t="s">
        <v>81</v>
      </c>
      <c r="E221" s="42" t="s">
        <v>27</v>
      </c>
      <c r="F221" s="42" t="s">
        <v>78</v>
      </c>
      <c r="G221" s="9" t="s">
        <v>6</v>
      </c>
      <c r="H221" s="42"/>
    </row>
    <row r="222" spans="1:8" x14ac:dyDescent="0.2">
      <c r="A222" s="8">
        <v>45789</v>
      </c>
      <c r="B222" s="42" t="s">
        <v>77</v>
      </c>
      <c r="C222" s="11">
        <v>418.88</v>
      </c>
      <c r="D222" s="41" t="s">
        <v>81</v>
      </c>
      <c r="E222" s="42" t="s">
        <v>27</v>
      </c>
      <c r="F222" s="42" t="s">
        <v>78</v>
      </c>
      <c r="G222" s="9" t="s">
        <v>7</v>
      </c>
      <c r="H222" s="42"/>
    </row>
    <row r="223" spans="1:8" x14ac:dyDescent="0.2">
      <c r="A223" s="8">
        <v>45789</v>
      </c>
      <c r="B223" s="42" t="s">
        <v>76</v>
      </c>
      <c r="C223" s="11">
        <v>2755.57</v>
      </c>
      <c r="D223" s="41" t="s">
        <v>81</v>
      </c>
      <c r="E223" s="42" t="s">
        <v>27</v>
      </c>
      <c r="F223" s="42" t="s">
        <v>78</v>
      </c>
      <c r="G223" s="9" t="s">
        <v>7</v>
      </c>
      <c r="H223" s="42"/>
    </row>
    <row r="224" spans="1:8" x14ac:dyDescent="0.2">
      <c r="A224" s="8">
        <v>45808</v>
      </c>
      <c r="B224" s="42" t="s">
        <v>75</v>
      </c>
      <c r="C224" s="11">
        <v>-3400</v>
      </c>
      <c r="D224" s="41" t="s">
        <v>81</v>
      </c>
      <c r="E224" s="42" t="s">
        <v>27</v>
      </c>
      <c r="F224" s="42" t="s">
        <v>78</v>
      </c>
      <c r="G224" s="9" t="s">
        <v>80</v>
      </c>
      <c r="H224" s="42"/>
    </row>
    <row r="225" spans="1:8" x14ac:dyDescent="0.2">
      <c r="A225" s="8">
        <v>45819</v>
      </c>
      <c r="B225" s="42" t="s">
        <v>77</v>
      </c>
      <c r="C225" s="11">
        <v>222.85</v>
      </c>
      <c r="D225" s="41" t="s">
        <v>81</v>
      </c>
      <c r="E225" s="42" t="s">
        <v>27</v>
      </c>
      <c r="F225" s="42" t="s">
        <v>78</v>
      </c>
      <c r="G225" s="9" t="s">
        <v>6</v>
      </c>
      <c r="H225" s="42"/>
    </row>
    <row r="226" spans="1:8" x14ac:dyDescent="0.2">
      <c r="A226" s="8">
        <v>45819</v>
      </c>
      <c r="B226" s="42" t="s">
        <v>77</v>
      </c>
      <c r="C226" s="11">
        <v>413.85</v>
      </c>
      <c r="D226" s="41" t="s">
        <v>81</v>
      </c>
      <c r="E226" s="42" t="s">
        <v>27</v>
      </c>
      <c r="F226" s="42" t="s">
        <v>78</v>
      </c>
      <c r="G226" s="9" t="s">
        <v>7</v>
      </c>
      <c r="H226" s="42"/>
    </row>
    <row r="227" spans="1:8" x14ac:dyDescent="0.2">
      <c r="A227" s="8">
        <v>45819</v>
      </c>
      <c r="B227" s="42" t="s">
        <v>76</v>
      </c>
      <c r="C227" s="11">
        <v>2763.3</v>
      </c>
      <c r="D227" s="41" t="s">
        <v>81</v>
      </c>
      <c r="E227" s="42" t="s">
        <v>27</v>
      </c>
      <c r="F227" s="42" t="s">
        <v>78</v>
      </c>
      <c r="G227" s="9" t="s">
        <v>7</v>
      </c>
      <c r="H227" s="42"/>
    </row>
    <row r="228" spans="1:8" x14ac:dyDescent="0.2">
      <c r="A228" s="8">
        <v>45838</v>
      </c>
      <c r="B228" s="42" t="s">
        <v>75</v>
      </c>
      <c r="C228" s="11">
        <v>-3400</v>
      </c>
      <c r="D228" s="41" t="s">
        <v>81</v>
      </c>
      <c r="E228" s="42" t="s">
        <v>27</v>
      </c>
      <c r="F228" s="42" t="s">
        <v>78</v>
      </c>
      <c r="G228" s="9" t="s">
        <v>80</v>
      </c>
      <c r="H228" s="42"/>
    </row>
    <row r="229" spans="1:8" x14ac:dyDescent="0.2">
      <c r="A229" s="8">
        <v>45846</v>
      </c>
      <c r="B229" s="42" t="s">
        <v>77</v>
      </c>
      <c r="C229" s="11">
        <v>218.43</v>
      </c>
      <c r="D229" s="41" t="s">
        <v>81</v>
      </c>
      <c r="E229" s="42" t="s">
        <v>27</v>
      </c>
      <c r="F229" s="42" t="s">
        <v>78</v>
      </c>
      <c r="G229" s="9" t="s">
        <v>6</v>
      </c>
      <c r="H229" s="42"/>
    </row>
    <row r="230" spans="1:8" x14ac:dyDescent="0.2">
      <c r="A230" s="8">
        <v>45846</v>
      </c>
      <c r="B230" s="42" t="s">
        <v>77</v>
      </c>
      <c r="C230" s="11">
        <v>405.65</v>
      </c>
      <c r="D230" s="41" t="s">
        <v>81</v>
      </c>
      <c r="E230" s="42" t="s">
        <v>27</v>
      </c>
      <c r="F230" s="42" t="s">
        <v>78</v>
      </c>
      <c r="G230" s="9" t="s">
        <v>7</v>
      </c>
      <c r="H230" s="42"/>
    </row>
    <row r="231" spans="1:8" x14ac:dyDescent="0.2">
      <c r="A231" s="8">
        <v>45846</v>
      </c>
      <c r="B231" s="42" t="s">
        <v>76</v>
      </c>
      <c r="C231" s="11">
        <v>2775.92</v>
      </c>
      <c r="D231" s="41" t="s">
        <v>81</v>
      </c>
      <c r="E231" s="42" t="s">
        <v>27</v>
      </c>
      <c r="F231" s="42" t="s">
        <v>78</v>
      </c>
      <c r="G231" s="9" t="s">
        <v>7</v>
      </c>
      <c r="H231" s="42"/>
    </row>
    <row r="232" spans="1:8" x14ac:dyDescent="0.2">
      <c r="A232" s="8">
        <v>45869</v>
      </c>
      <c r="B232" s="42" t="s">
        <v>75</v>
      </c>
      <c r="C232" s="11">
        <v>-3400</v>
      </c>
      <c r="D232" s="41" t="s">
        <v>81</v>
      </c>
      <c r="E232" s="42" t="s">
        <v>27</v>
      </c>
      <c r="F232" s="42" t="s">
        <v>78</v>
      </c>
      <c r="G232" s="9" t="s">
        <v>80</v>
      </c>
      <c r="H232" s="42"/>
    </row>
    <row r="233" spans="1:8" x14ac:dyDescent="0.2">
      <c r="A233" s="8">
        <v>45875</v>
      </c>
      <c r="B233" s="42" t="s">
        <v>77</v>
      </c>
      <c r="C233" s="11">
        <v>215.11</v>
      </c>
      <c r="D233" s="41" t="s">
        <v>81</v>
      </c>
      <c r="E233" s="42" t="s">
        <v>27</v>
      </c>
      <c r="F233" s="42" t="s">
        <v>78</v>
      </c>
      <c r="G233" s="9" t="s">
        <v>6</v>
      </c>
      <c r="H233" s="42"/>
    </row>
    <row r="234" spans="1:8" x14ac:dyDescent="0.2">
      <c r="A234" s="8">
        <v>45875</v>
      </c>
      <c r="B234" s="42" t="s">
        <v>77</v>
      </c>
      <c r="C234" s="11">
        <v>399.5</v>
      </c>
      <c r="D234" s="41" t="s">
        <v>81</v>
      </c>
      <c r="E234" s="42" t="s">
        <v>27</v>
      </c>
      <c r="F234" s="42" t="s">
        <v>78</v>
      </c>
      <c r="G234" s="9" t="s">
        <v>7</v>
      </c>
      <c r="H234" s="42"/>
    </row>
    <row r="235" spans="1:8" x14ac:dyDescent="0.2">
      <c r="A235" s="8">
        <v>45875</v>
      </c>
      <c r="B235" s="42" t="s">
        <v>76</v>
      </c>
      <c r="C235" s="11">
        <v>2785.39</v>
      </c>
      <c r="D235" s="41" t="s">
        <v>81</v>
      </c>
      <c r="E235" s="42" t="s">
        <v>27</v>
      </c>
      <c r="F235" s="42" t="s">
        <v>78</v>
      </c>
      <c r="G235" s="9" t="s">
        <v>7</v>
      </c>
      <c r="H235" s="42"/>
    </row>
    <row r="236" spans="1:8" x14ac:dyDescent="0.2">
      <c r="A236" s="8">
        <v>45900</v>
      </c>
      <c r="B236" s="42" t="s">
        <v>75</v>
      </c>
      <c r="C236" s="11">
        <v>-3400</v>
      </c>
      <c r="D236" s="41" t="s">
        <v>81</v>
      </c>
      <c r="E236" s="42" t="s">
        <v>27</v>
      </c>
      <c r="F236" s="42" t="s">
        <v>78</v>
      </c>
      <c r="G236" s="9" t="s">
        <v>80</v>
      </c>
      <c r="H236" s="42"/>
    </row>
    <row r="237" spans="1:8" x14ac:dyDescent="0.2">
      <c r="A237" s="8">
        <v>45908</v>
      </c>
      <c r="B237" s="42" t="s">
        <v>77</v>
      </c>
      <c r="C237" s="11">
        <v>212.12</v>
      </c>
      <c r="D237" s="41" t="s">
        <v>81</v>
      </c>
      <c r="E237" s="42" t="s">
        <v>27</v>
      </c>
      <c r="F237" s="42" t="s">
        <v>78</v>
      </c>
      <c r="G237" s="9" t="s">
        <v>6</v>
      </c>
      <c r="H237" s="42"/>
    </row>
    <row r="238" spans="1:8" x14ac:dyDescent="0.2">
      <c r="A238" s="8">
        <v>45908</v>
      </c>
      <c r="B238" s="42" t="s">
        <v>77</v>
      </c>
      <c r="C238" s="11">
        <v>393.94</v>
      </c>
      <c r="D238" s="41" t="s">
        <v>81</v>
      </c>
      <c r="E238" s="42" t="s">
        <v>27</v>
      </c>
      <c r="F238" s="42" t="s">
        <v>78</v>
      </c>
      <c r="G238" s="9" t="s">
        <v>7</v>
      </c>
      <c r="H238" s="42"/>
    </row>
    <row r="239" spans="1:8" x14ac:dyDescent="0.2">
      <c r="A239" s="8">
        <v>45908</v>
      </c>
      <c r="B239" s="42" t="s">
        <v>76</v>
      </c>
      <c r="C239" s="11">
        <v>2793.94</v>
      </c>
      <c r="D239" s="41" t="s">
        <v>81</v>
      </c>
      <c r="E239" s="42" t="s">
        <v>27</v>
      </c>
      <c r="F239" s="42" t="s">
        <v>78</v>
      </c>
      <c r="G239" s="9" t="s">
        <v>7</v>
      </c>
      <c r="H239" s="42"/>
    </row>
    <row r="240" spans="1:8" x14ac:dyDescent="0.2">
      <c r="A240" s="8">
        <v>45930</v>
      </c>
      <c r="B240" s="42" t="s">
        <v>75</v>
      </c>
      <c r="C240" s="11">
        <v>-3400</v>
      </c>
      <c r="D240" s="41" t="s">
        <v>81</v>
      </c>
      <c r="E240" s="42" t="s">
        <v>27</v>
      </c>
      <c r="F240" s="42" t="s">
        <v>78</v>
      </c>
      <c r="G240" s="9" t="s">
        <v>80</v>
      </c>
      <c r="H240" s="42" t="s">
        <v>71</v>
      </c>
    </row>
    <row r="241" spans="1:8" x14ac:dyDescent="0.2">
      <c r="A241" s="8">
        <v>45940</v>
      </c>
      <c r="B241" s="42" t="s">
        <v>77</v>
      </c>
      <c r="C241" s="11">
        <v>209.07</v>
      </c>
      <c r="D241" s="41" t="s">
        <v>81</v>
      </c>
      <c r="E241" s="42" t="s">
        <v>27</v>
      </c>
      <c r="F241" s="42" t="s">
        <v>78</v>
      </c>
      <c r="G241" s="9" t="s">
        <v>6</v>
      </c>
      <c r="H241" s="42"/>
    </row>
    <row r="242" spans="1:8" x14ac:dyDescent="0.2">
      <c r="A242" s="8">
        <v>45940</v>
      </c>
      <c r="B242" s="42" t="s">
        <v>77</v>
      </c>
      <c r="C242" s="11">
        <v>388.26</v>
      </c>
      <c r="D242" s="41" t="s">
        <v>81</v>
      </c>
      <c r="E242" s="42" t="s">
        <v>27</v>
      </c>
      <c r="F242" s="42" t="s">
        <v>78</v>
      </c>
      <c r="G242" s="9" t="s">
        <v>7</v>
      </c>
      <c r="H242" s="42"/>
    </row>
    <row r="243" spans="1:8" x14ac:dyDescent="0.2">
      <c r="A243" s="8">
        <v>45940</v>
      </c>
      <c r="B243" s="42" t="s">
        <v>76</v>
      </c>
      <c r="C243" s="11">
        <v>2802.67</v>
      </c>
      <c r="D243" s="41" t="s">
        <v>81</v>
      </c>
      <c r="E243" s="42" t="s">
        <v>27</v>
      </c>
      <c r="F243" s="42" t="s">
        <v>78</v>
      </c>
      <c r="G243" s="9" t="s">
        <v>7</v>
      </c>
      <c r="H243" s="42"/>
    </row>
    <row r="244" spans="1:8" s="1" customFormat="1" x14ac:dyDescent="0.2">
      <c r="A244" s="8">
        <v>45961</v>
      </c>
      <c r="B244" s="42" t="s">
        <v>75</v>
      </c>
      <c r="C244" s="11">
        <v>-3740</v>
      </c>
      <c r="D244" s="41" t="s">
        <v>81</v>
      </c>
      <c r="E244" s="42" t="s">
        <v>27</v>
      </c>
      <c r="F244" s="42" t="s">
        <v>78</v>
      </c>
      <c r="G244" s="9" t="s">
        <v>80</v>
      </c>
      <c r="H244" s="42"/>
    </row>
    <row r="245" spans="1:8" x14ac:dyDescent="0.2">
      <c r="A245" s="8">
        <v>45974</v>
      </c>
      <c r="B245" s="42" t="s">
        <v>76</v>
      </c>
      <c r="C245" s="11">
        <v>2922.02</v>
      </c>
      <c r="D245" s="41" t="s">
        <v>81</v>
      </c>
      <c r="E245" s="42" t="s">
        <v>27</v>
      </c>
      <c r="F245" s="42" t="s">
        <v>78</v>
      </c>
      <c r="G245" s="9" t="s">
        <v>7</v>
      </c>
      <c r="H245" s="42"/>
    </row>
    <row r="246" spans="1:8" s="5" customFormat="1" x14ac:dyDescent="0.2">
      <c r="A246" s="8">
        <v>45974</v>
      </c>
      <c r="B246" s="42" t="s">
        <v>82</v>
      </c>
      <c r="C246" s="11">
        <v>108.75</v>
      </c>
      <c r="D246" s="41" t="s">
        <v>81</v>
      </c>
      <c r="E246" s="42" t="s">
        <v>27</v>
      </c>
      <c r="F246" s="42" t="s">
        <v>78</v>
      </c>
      <c r="G246" s="9" t="s">
        <v>80</v>
      </c>
      <c r="H246" s="42" t="s">
        <v>73</v>
      </c>
    </row>
    <row r="247" spans="1:8" x14ac:dyDescent="0.2">
      <c r="A247" s="8">
        <v>45974</v>
      </c>
      <c r="B247" s="42" t="s">
        <v>77</v>
      </c>
      <c r="C247" s="11">
        <v>248.23</v>
      </c>
      <c r="D247" s="41" t="s">
        <v>81</v>
      </c>
      <c r="E247" s="42" t="s">
        <v>27</v>
      </c>
      <c r="F247" s="42" t="s">
        <v>78</v>
      </c>
      <c r="G247" s="9" t="s">
        <v>6</v>
      </c>
      <c r="H247" s="42"/>
    </row>
    <row r="248" spans="1:8" x14ac:dyDescent="0.2">
      <c r="A248" s="8">
        <v>45974</v>
      </c>
      <c r="B248" s="42" t="s">
        <v>77</v>
      </c>
      <c r="C248" s="11">
        <v>461</v>
      </c>
      <c r="D248" s="41" t="s">
        <v>81</v>
      </c>
      <c r="E248" s="42" t="s">
        <v>27</v>
      </c>
      <c r="F248" s="42" t="s">
        <v>78</v>
      </c>
      <c r="G248" s="9" t="s">
        <v>7</v>
      </c>
      <c r="H248" s="42"/>
    </row>
    <row r="249" spans="1:8" x14ac:dyDescent="0.2">
      <c r="A249" s="8">
        <v>45991</v>
      </c>
      <c r="B249" s="42" t="s">
        <v>75</v>
      </c>
      <c r="C249" s="11">
        <v>-3740</v>
      </c>
      <c r="D249" s="41" t="s">
        <v>81</v>
      </c>
      <c r="E249" s="42" t="s">
        <v>27</v>
      </c>
      <c r="F249" s="42" t="s">
        <v>78</v>
      </c>
      <c r="G249" s="9" t="s">
        <v>80</v>
      </c>
      <c r="H249" s="42"/>
    </row>
    <row r="250" spans="1:8" x14ac:dyDescent="0.2">
      <c r="A250" s="8">
        <v>46006</v>
      </c>
      <c r="B250" s="42" t="s">
        <v>76</v>
      </c>
      <c r="C250" s="11">
        <v>3038.75</v>
      </c>
      <c r="D250" s="41" t="s">
        <v>81</v>
      </c>
      <c r="E250" s="42" t="s">
        <v>27</v>
      </c>
      <c r="F250" s="42" t="s">
        <v>78</v>
      </c>
      <c r="G250" s="9" t="s">
        <v>7</v>
      </c>
      <c r="H250" s="42"/>
    </row>
    <row r="251" spans="1:8" x14ac:dyDescent="0.2">
      <c r="A251" s="8">
        <v>46006</v>
      </c>
      <c r="B251" s="42" t="s">
        <v>77</v>
      </c>
      <c r="C251" s="11">
        <v>245.44</v>
      </c>
      <c r="D251" s="41" t="s">
        <v>81</v>
      </c>
      <c r="E251" s="42" t="s">
        <v>27</v>
      </c>
      <c r="F251" s="42" t="s">
        <v>78</v>
      </c>
      <c r="G251" s="9" t="s">
        <v>6</v>
      </c>
      <c r="H251" s="42"/>
    </row>
    <row r="252" spans="1:8" x14ac:dyDescent="0.2">
      <c r="A252" s="8">
        <v>46006</v>
      </c>
      <c r="B252" s="42" t="s">
        <v>77</v>
      </c>
      <c r="C252" s="11">
        <v>455.81</v>
      </c>
      <c r="D252" s="41" t="s">
        <v>81</v>
      </c>
      <c r="E252" s="42" t="s">
        <v>27</v>
      </c>
      <c r="F252" s="42" t="s">
        <v>78</v>
      </c>
      <c r="G252" s="9" t="s">
        <v>7</v>
      </c>
      <c r="H252" s="42"/>
    </row>
    <row r="253" spans="1:8" x14ac:dyDescent="0.2">
      <c r="A253" s="8">
        <v>46022</v>
      </c>
      <c r="B253" s="42" t="s">
        <v>75</v>
      </c>
      <c r="C253" s="11">
        <v>-3740</v>
      </c>
      <c r="D253" s="41" t="s">
        <v>81</v>
      </c>
      <c r="E253" s="42" t="s">
        <v>27</v>
      </c>
      <c r="F253" s="42" t="s">
        <v>78</v>
      </c>
      <c r="G253" s="9" t="s">
        <v>80</v>
      </c>
      <c r="H253" s="42"/>
    </row>
    <row r="254" spans="1:8" x14ac:dyDescent="0.2">
      <c r="A254" s="8">
        <v>46035</v>
      </c>
      <c r="B254" s="42" t="s">
        <v>76</v>
      </c>
      <c r="C254" s="11">
        <v>3046</v>
      </c>
      <c r="D254" s="41" t="s">
        <v>81</v>
      </c>
      <c r="E254" s="42" t="s">
        <v>27</v>
      </c>
      <c r="F254" s="42" t="s">
        <v>78</v>
      </c>
      <c r="G254" s="9" t="s">
        <v>7</v>
      </c>
      <c r="H254" s="42"/>
    </row>
    <row r="255" spans="1:8" x14ac:dyDescent="0.2">
      <c r="A255" s="8">
        <v>46035</v>
      </c>
      <c r="B255" s="42" t="s">
        <v>77</v>
      </c>
      <c r="C255" s="11">
        <v>242.9</v>
      </c>
      <c r="D255" s="41" t="s">
        <v>81</v>
      </c>
      <c r="E255" s="42" t="s">
        <v>27</v>
      </c>
      <c r="F255" s="42" t="s">
        <v>78</v>
      </c>
      <c r="G255" s="9" t="s">
        <v>6</v>
      </c>
      <c r="H255" s="42"/>
    </row>
    <row r="256" spans="1:8" x14ac:dyDescent="0.2">
      <c r="A256" s="8">
        <v>46035</v>
      </c>
      <c r="B256" s="42" t="s">
        <v>77</v>
      </c>
      <c r="C256" s="11">
        <v>451.1</v>
      </c>
      <c r="D256" s="41" t="s">
        <v>81</v>
      </c>
      <c r="E256" s="42" t="s">
        <v>27</v>
      </c>
      <c r="F256" s="42" t="s">
        <v>78</v>
      </c>
      <c r="G256" s="9" t="s">
        <v>7</v>
      </c>
      <c r="H256" s="42"/>
    </row>
    <row r="257" spans="1:8" x14ac:dyDescent="0.2">
      <c r="A257" s="8">
        <v>46053</v>
      </c>
      <c r="B257" s="42" t="s">
        <v>75</v>
      </c>
      <c r="C257" s="11">
        <v>-3740</v>
      </c>
      <c r="D257" s="41" t="s">
        <v>81</v>
      </c>
      <c r="E257" s="42" t="s">
        <v>27</v>
      </c>
      <c r="F257" s="42" t="s">
        <v>78</v>
      </c>
      <c r="G257" s="9" t="s">
        <v>80</v>
      </c>
      <c r="H257" s="42"/>
    </row>
    <row r="258" spans="1:8" x14ac:dyDescent="0.2">
      <c r="A258" s="8">
        <v>46062</v>
      </c>
      <c r="B258" s="42" t="s">
        <v>76</v>
      </c>
      <c r="C258" s="11">
        <v>3054.18</v>
      </c>
      <c r="D258" s="41" t="s">
        <v>81</v>
      </c>
      <c r="E258" s="42" t="s">
        <v>27</v>
      </c>
      <c r="F258" s="42" t="s">
        <v>78</v>
      </c>
      <c r="G258" s="9" t="s">
        <v>7</v>
      </c>
      <c r="H258" s="42"/>
    </row>
    <row r="259" spans="1:8" x14ac:dyDescent="0.2">
      <c r="A259" s="8">
        <v>46062</v>
      </c>
      <c r="B259" s="42" t="s">
        <v>77</v>
      </c>
      <c r="C259" s="11">
        <v>240.04</v>
      </c>
      <c r="D259" s="41" t="s">
        <v>81</v>
      </c>
      <c r="E259" s="42" t="s">
        <v>27</v>
      </c>
      <c r="F259" s="42" t="s">
        <v>78</v>
      </c>
      <c r="G259" s="9" t="s">
        <v>6</v>
      </c>
      <c r="H259" s="42"/>
    </row>
    <row r="260" spans="1:8" x14ac:dyDescent="0.2">
      <c r="A260" s="8">
        <v>46062</v>
      </c>
      <c r="B260" s="42" t="s">
        <v>77</v>
      </c>
      <c r="C260" s="11">
        <v>445.78</v>
      </c>
      <c r="D260" s="41" t="s">
        <v>81</v>
      </c>
      <c r="E260" s="42" t="s">
        <v>27</v>
      </c>
      <c r="F260" s="42" t="s">
        <v>78</v>
      </c>
      <c r="G260" s="9" t="s">
        <v>7</v>
      </c>
      <c r="H260" s="42"/>
    </row>
    <row r="261" spans="1:8" x14ac:dyDescent="0.2">
      <c r="A261" s="8">
        <v>46081</v>
      </c>
      <c r="B261" s="42" t="s">
        <v>75</v>
      </c>
      <c r="C261" s="11">
        <v>-3740</v>
      </c>
      <c r="D261" s="41" t="s">
        <v>81</v>
      </c>
      <c r="E261" s="42" t="s">
        <v>27</v>
      </c>
      <c r="F261" s="42" t="s">
        <v>78</v>
      </c>
      <c r="G261" s="9" t="s">
        <v>80</v>
      </c>
      <c r="H261" s="42"/>
    </row>
    <row r="262" spans="1:8" x14ac:dyDescent="0.2">
      <c r="A262" s="8">
        <v>46093</v>
      </c>
      <c r="B262" s="42" t="s">
        <v>76</v>
      </c>
      <c r="C262" s="11">
        <v>3060.31</v>
      </c>
      <c r="D262" s="41" t="s">
        <v>81</v>
      </c>
      <c r="E262" s="42" t="s">
        <v>27</v>
      </c>
      <c r="F262" s="42" t="s">
        <v>78</v>
      </c>
      <c r="G262" s="9" t="s">
        <v>7</v>
      </c>
      <c r="H262" s="42"/>
    </row>
    <row r="263" spans="1:8" x14ac:dyDescent="0.2">
      <c r="A263" s="8">
        <v>46093</v>
      </c>
      <c r="B263" s="42" t="s">
        <v>77</v>
      </c>
      <c r="C263" s="11">
        <v>237.89</v>
      </c>
      <c r="D263" s="41" t="s">
        <v>81</v>
      </c>
      <c r="E263" s="42" t="s">
        <v>27</v>
      </c>
      <c r="F263" s="42" t="s">
        <v>78</v>
      </c>
      <c r="G263" s="9" t="s">
        <v>6</v>
      </c>
      <c r="H263" s="42"/>
    </row>
    <row r="264" spans="1:8" x14ac:dyDescent="0.2">
      <c r="A264" s="8">
        <v>46093</v>
      </c>
      <c r="B264" s="42" t="s">
        <v>77</v>
      </c>
      <c r="C264" s="11">
        <v>441.8</v>
      </c>
      <c r="D264" s="41" t="s">
        <v>81</v>
      </c>
      <c r="E264" s="42" t="s">
        <v>27</v>
      </c>
      <c r="F264" s="42" t="s">
        <v>78</v>
      </c>
      <c r="G264" s="9" t="s">
        <v>7</v>
      </c>
      <c r="H264" s="42"/>
    </row>
    <row r="393" spans="1:8" x14ac:dyDescent="0.2">
      <c r="A393" s="13" t="s">
        <v>39</v>
      </c>
      <c r="B393" s="13" t="s">
        <v>40</v>
      </c>
      <c r="C393" s="45" t="s">
        <v>41</v>
      </c>
      <c r="D393" s="13" t="s">
        <v>42</v>
      </c>
      <c r="E393" s="13" t="s">
        <v>43</v>
      </c>
      <c r="F393" s="13" t="s">
        <v>44</v>
      </c>
      <c r="G393" s="13" t="s">
        <v>45</v>
      </c>
      <c r="H393" s="13" t="s">
        <v>46</v>
      </c>
    </row>
    <row r="394" spans="1:8" x14ac:dyDescent="0.2">
      <c r="A394" s="46"/>
      <c r="B394" s="47"/>
      <c r="C394" s="48">
        <v>45199</v>
      </c>
      <c r="D394" s="54">
        <v>3100</v>
      </c>
      <c r="E394" s="50" t="s">
        <v>8</v>
      </c>
      <c r="F394" s="50"/>
      <c r="G394" s="50"/>
      <c r="H394" s="50" t="s">
        <v>51</v>
      </c>
    </row>
    <row r="395" spans="1:8" x14ac:dyDescent="0.2">
      <c r="A395" s="46"/>
      <c r="B395" s="47"/>
      <c r="C395" s="48">
        <v>45216</v>
      </c>
      <c r="D395" s="54">
        <v>-892.86</v>
      </c>
      <c r="E395" s="50" t="s">
        <v>55</v>
      </c>
      <c r="F395" s="50" t="s">
        <v>57</v>
      </c>
      <c r="G395" s="50"/>
      <c r="H395" s="50" t="s">
        <v>51</v>
      </c>
    </row>
    <row r="396" spans="1:8" x14ac:dyDescent="0.2">
      <c r="A396" s="46"/>
      <c r="B396" s="47"/>
      <c r="C396" s="48">
        <v>45223</v>
      </c>
      <c r="D396" s="54">
        <v>-2207.14</v>
      </c>
      <c r="E396" s="50" t="s">
        <v>49</v>
      </c>
      <c r="F396" s="50" t="s">
        <v>58</v>
      </c>
      <c r="G396" s="50"/>
      <c r="H396" s="50" t="s">
        <v>51</v>
      </c>
    </row>
    <row r="397" spans="1:8" x14ac:dyDescent="0.2">
      <c r="A397" s="46"/>
      <c r="B397" s="47"/>
      <c r="C397" s="48">
        <v>45230</v>
      </c>
      <c r="D397" s="54">
        <v>3100</v>
      </c>
      <c r="E397" s="50" t="s">
        <v>8</v>
      </c>
      <c r="F397" s="50"/>
      <c r="G397" s="50"/>
      <c r="H397" s="50" t="s">
        <v>51</v>
      </c>
    </row>
    <row r="398" spans="1:8" x14ac:dyDescent="0.2">
      <c r="A398" s="46"/>
      <c r="B398" s="47"/>
      <c r="C398" s="48">
        <v>45233</v>
      </c>
      <c r="D398" s="54">
        <v>-881.21</v>
      </c>
      <c r="E398" s="50" t="s">
        <v>55</v>
      </c>
      <c r="F398" s="50" t="s">
        <v>59</v>
      </c>
      <c r="G398" s="50"/>
      <c r="H398" s="50" t="s">
        <v>51</v>
      </c>
    </row>
    <row r="399" spans="1:8" x14ac:dyDescent="0.2">
      <c r="A399" s="46"/>
      <c r="B399" s="47"/>
      <c r="C399" s="48">
        <v>45233</v>
      </c>
      <c r="D399" s="54">
        <v>-2218.79</v>
      </c>
      <c r="E399" s="50" t="s">
        <v>49</v>
      </c>
      <c r="F399" s="50" t="s">
        <v>60</v>
      </c>
      <c r="G399" s="50"/>
      <c r="H399" s="50" t="s">
        <v>51</v>
      </c>
    </row>
    <row r="400" spans="1:8" x14ac:dyDescent="0.2">
      <c r="A400" s="46"/>
      <c r="B400" s="47"/>
      <c r="C400" s="48">
        <v>45260</v>
      </c>
      <c r="D400" s="54">
        <v>3100</v>
      </c>
      <c r="E400" s="50" t="s">
        <v>8</v>
      </c>
      <c r="F400" s="50"/>
      <c r="G400" s="50"/>
      <c r="H400" s="50" t="s">
        <v>51</v>
      </c>
    </row>
    <row r="401" spans="1:8" x14ac:dyDescent="0.2">
      <c r="A401" s="46"/>
      <c r="B401" s="47"/>
      <c r="C401" s="48">
        <v>45265</v>
      </c>
      <c r="D401" s="54">
        <v>-864.16</v>
      </c>
      <c r="E401" s="50" t="s">
        <v>55</v>
      </c>
      <c r="F401" s="50" t="s">
        <v>61</v>
      </c>
      <c r="G401" s="50"/>
      <c r="H401" s="50" t="s">
        <v>51</v>
      </c>
    </row>
    <row r="402" spans="1:8" x14ac:dyDescent="0.2">
      <c r="A402" s="46"/>
      <c r="B402" s="47"/>
      <c r="C402" s="48">
        <v>45265</v>
      </c>
      <c r="D402" s="54">
        <v>-2235.84</v>
      </c>
      <c r="E402" s="50" t="s">
        <v>49</v>
      </c>
      <c r="F402" s="50" t="s">
        <v>62</v>
      </c>
      <c r="G402" s="50"/>
      <c r="H402" s="50" t="s">
        <v>51</v>
      </c>
    </row>
    <row r="403" spans="1:8" x14ac:dyDescent="0.2">
      <c r="A403" s="46"/>
      <c r="B403" s="47"/>
      <c r="C403" s="48">
        <v>45291</v>
      </c>
      <c r="D403" s="54">
        <v>3100</v>
      </c>
      <c r="E403" s="50" t="s">
        <v>8</v>
      </c>
      <c r="F403" s="50"/>
      <c r="G403" s="50"/>
      <c r="H403" s="50"/>
    </row>
    <row r="404" spans="1:8" x14ac:dyDescent="0.2">
      <c r="A404" s="46"/>
      <c r="B404" s="47"/>
      <c r="C404" s="48">
        <v>45296</v>
      </c>
      <c r="D404" s="54">
        <v>-838</v>
      </c>
      <c r="E404" s="50" t="s">
        <v>55</v>
      </c>
      <c r="F404" s="50" t="s">
        <v>61</v>
      </c>
      <c r="G404" s="50"/>
      <c r="H404" s="50"/>
    </row>
    <row r="405" spans="1:8" x14ac:dyDescent="0.2">
      <c r="A405" s="46"/>
      <c r="B405" s="47"/>
      <c r="C405" s="48">
        <v>45296</v>
      </c>
      <c r="D405" s="54">
        <v>-2262</v>
      </c>
      <c r="E405" s="50" t="s">
        <v>49</v>
      </c>
      <c r="F405" s="50" t="s">
        <v>63</v>
      </c>
      <c r="G405" s="50"/>
      <c r="H405" s="50"/>
    </row>
    <row r="406" spans="1:8" x14ac:dyDescent="0.2">
      <c r="A406" s="46"/>
      <c r="B406" s="47"/>
      <c r="C406" s="48">
        <v>45322</v>
      </c>
      <c r="D406" s="54">
        <v>3100</v>
      </c>
      <c r="E406" s="50" t="s">
        <v>8</v>
      </c>
      <c r="F406" s="50"/>
      <c r="G406" s="50"/>
      <c r="H406" s="50"/>
    </row>
    <row r="407" spans="1:8" x14ac:dyDescent="0.2">
      <c r="A407" s="46"/>
      <c r="B407" s="47"/>
      <c r="C407" s="48">
        <v>45329</v>
      </c>
      <c r="D407" s="54">
        <v>-816</v>
      </c>
      <c r="E407" s="50" t="s">
        <v>55</v>
      </c>
      <c r="F407" s="50" t="s">
        <v>64</v>
      </c>
      <c r="G407" s="50"/>
      <c r="H407" s="50"/>
    </row>
    <row r="408" spans="1:8" x14ac:dyDescent="0.2">
      <c r="A408" s="46"/>
      <c r="B408" s="47"/>
      <c r="C408" s="48">
        <v>45329</v>
      </c>
      <c r="D408" s="54">
        <v>-2284</v>
      </c>
      <c r="E408" s="50" t="s">
        <v>49</v>
      </c>
      <c r="F408" s="50" t="s">
        <v>65</v>
      </c>
      <c r="G408" s="50"/>
      <c r="H408" s="50"/>
    </row>
    <row r="409" spans="1:8" x14ac:dyDescent="0.2">
      <c r="A409" s="46"/>
      <c r="B409" s="47"/>
      <c r="C409" s="48">
        <v>45351</v>
      </c>
      <c r="D409" s="54">
        <v>3100</v>
      </c>
      <c r="E409" s="50" t="s">
        <v>8</v>
      </c>
      <c r="F409" s="50"/>
      <c r="G409" s="50"/>
      <c r="H409" s="50"/>
    </row>
    <row r="410" spans="1:8" x14ac:dyDescent="0.2">
      <c r="A410" s="46"/>
      <c r="B410" s="47"/>
      <c r="C410" s="48">
        <v>45329</v>
      </c>
      <c r="D410" s="54">
        <v>-771.91</v>
      </c>
      <c r="E410" s="50" t="s">
        <v>55</v>
      </c>
      <c r="F410" s="50" t="s">
        <v>59</v>
      </c>
      <c r="G410" s="50"/>
      <c r="H410" s="50"/>
    </row>
    <row r="411" spans="1:8" x14ac:dyDescent="0.2">
      <c r="A411" s="46"/>
      <c r="B411" s="47"/>
      <c r="C411" s="48">
        <v>45329</v>
      </c>
      <c r="D411" s="54">
        <v>-2328.09</v>
      </c>
      <c r="E411" s="50" t="s">
        <v>49</v>
      </c>
      <c r="F411" s="50" t="s">
        <v>66</v>
      </c>
      <c r="G411" s="50"/>
      <c r="H411" s="50"/>
    </row>
    <row r="412" spans="1:8" x14ac:dyDescent="0.2">
      <c r="A412" s="46"/>
      <c r="B412" s="47"/>
      <c r="C412" s="48">
        <v>45382</v>
      </c>
      <c r="D412" s="54">
        <v>3100</v>
      </c>
      <c r="E412" s="50" t="s">
        <v>8</v>
      </c>
      <c r="F412" s="50"/>
      <c r="G412" s="50"/>
      <c r="H412" s="50"/>
    </row>
    <row r="413" spans="1:8" x14ac:dyDescent="0.2">
      <c r="A413" s="46"/>
      <c r="B413" s="47"/>
      <c r="C413" s="48">
        <v>45385</v>
      </c>
      <c r="D413" s="54">
        <v>-773.99</v>
      </c>
      <c r="E413" s="50" t="s">
        <v>55</v>
      </c>
      <c r="F413" s="50" t="s">
        <v>59</v>
      </c>
      <c r="G413" s="50"/>
      <c r="H413" s="50"/>
    </row>
    <row r="414" spans="1:8" x14ac:dyDescent="0.2">
      <c r="A414" s="46"/>
      <c r="B414" s="47"/>
      <c r="C414" s="48">
        <v>45385</v>
      </c>
      <c r="D414" s="54">
        <v>-2326.0100000000002</v>
      </c>
      <c r="E414" s="50" t="s">
        <v>49</v>
      </c>
      <c r="F414" s="50" t="s">
        <v>67</v>
      </c>
      <c r="G414" s="50"/>
      <c r="H414" s="50"/>
    </row>
    <row r="415" spans="1:8" x14ac:dyDescent="0.2">
      <c r="A415" s="46"/>
      <c r="B415" s="47"/>
      <c r="C415" s="48">
        <v>45412</v>
      </c>
      <c r="D415" s="54">
        <v>3100</v>
      </c>
      <c r="E415" s="50" t="s">
        <v>8</v>
      </c>
      <c r="F415" s="50"/>
      <c r="G415" s="50"/>
      <c r="H415" s="50"/>
    </row>
    <row r="416" spans="1:8" x14ac:dyDescent="0.2">
      <c r="A416" s="46"/>
      <c r="B416" s="47"/>
      <c r="C416" s="48">
        <v>45414</v>
      </c>
      <c r="D416" s="54">
        <v>-775</v>
      </c>
      <c r="E416" s="50" t="s">
        <v>55</v>
      </c>
      <c r="F416" s="50" t="s">
        <v>59</v>
      </c>
      <c r="G416" s="50"/>
      <c r="H416" s="50"/>
    </row>
    <row r="417" spans="1:8" x14ac:dyDescent="0.2">
      <c r="A417" s="46"/>
      <c r="B417" s="47"/>
      <c r="C417" s="48">
        <v>45414</v>
      </c>
      <c r="D417" s="54">
        <v>-2325</v>
      </c>
      <c r="E417" s="50" t="s">
        <v>49</v>
      </c>
      <c r="F417" s="50" t="s">
        <v>68</v>
      </c>
      <c r="G417" s="50"/>
      <c r="H417" s="50"/>
    </row>
    <row r="418" spans="1:8" x14ac:dyDescent="0.2">
      <c r="A418" s="46"/>
      <c r="B418" s="47"/>
      <c r="C418" s="48">
        <v>45443</v>
      </c>
      <c r="D418" s="54">
        <v>3100</v>
      </c>
      <c r="E418" s="50" t="s">
        <v>8</v>
      </c>
      <c r="F418" s="50"/>
      <c r="G418" s="50"/>
      <c r="H418" s="50"/>
    </row>
    <row r="419" spans="1:8" x14ac:dyDescent="0.2">
      <c r="A419" s="46"/>
      <c r="B419" s="47"/>
      <c r="C419" s="48">
        <v>45450</v>
      </c>
      <c r="D419" s="54">
        <v>-777.33</v>
      </c>
      <c r="E419" s="50" t="s">
        <v>55</v>
      </c>
      <c r="F419" s="50" t="s">
        <v>59</v>
      </c>
      <c r="G419" s="50"/>
      <c r="H419" s="50"/>
    </row>
    <row r="420" spans="1:8" x14ac:dyDescent="0.2">
      <c r="A420" s="46"/>
      <c r="B420" s="47"/>
      <c r="C420" s="48">
        <v>45450</v>
      </c>
      <c r="D420" s="54">
        <v>-2322.67</v>
      </c>
      <c r="E420" s="50" t="s">
        <v>49</v>
      </c>
      <c r="F420" s="50" t="s">
        <v>68</v>
      </c>
      <c r="G420" s="50"/>
      <c r="H420" s="50"/>
    </row>
    <row r="421" spans="1:8" x14ac:dyDescent="0.2">
      <c r="A421" s="46"/>
      <c r="B421" s="47"/>
      <c r="C421" s="48">
        <v>45473</v>
      </c>
      <c r="D421" s="54">
        <v>3100</v>
      </c>
      <c r="E421" s="50" t="s">
        <v>8</v>
      </c>
      <c r="F421" s="50"/>
      <c r="G421" s="50"/>
      <c r="H421" s="50"/>
    </row>
    <row r="422" spans="1:8" x14ac:dyDescent="0.2">
      <c r="A422" s="46"/>
      <c r="B422" s="47"/>
      <c r="C422" s="48">
        <v>45477</v>
      </c>
      <c r="D422" s="54">
        <v>-767.33</v>
      </c>
      <c r="E422" s="50" t="s">
        <v>55</v>
      </c>
      <c r="F422" s="50" t="s">
        <v>59</v>
      </c>
      <c r="G422" s="50"/>
      <c r="H422" s="50"/>
    </row>
    <row r="423" spans="1:8" x14ac:dyDescent="0.2">
      <c r="A423" s="46"/>
      <c r="B423" s="47"/>
      <c r="C423" s="48">
        <v>45478</v>
      </c>
      <c r="D423" s="54">
        <v>-2332.67</v>
      </c>
      <c r="E423" s="50" t="s">
        <v>49</v>
      </c>
      <c r="F423" s="50" t="s">
        <v>68</v>
      </c>
      <c r="G423" s="50"/>
      <c r="H423" s="50"/>
    </row>
    <row r="424" spans="1:8" x14ac:dyDescent="0.2">
      <c r="A424" s="46"/>
      <c r="B424" s="47"/>
      <c r="C424" s="48">
        <v>45504</v>
      </c>
      <c r="D424" s="54">
        <v>3100</v>
      </c>
      <c r="E424" s="50" t="s">
        <v>8</v>
      </c>
      <c r="F424" s="50"/>
      <c r="G424" s="50"/>
      <c r="H424" s="50"/>
    </row>
    <row r="425" spans="1:8" x14ac:dyDescent="0.2">
      <c r="A425" s="46"/>
      <c r="B425" s="47"/>
      <c r="C425" s="48">
        <v>45512</v>
      </c>
      <c r="D425" s="54">
        <v>-753.52</v>
      </c>
      <c r="E425" s="50" t="s">
        <v>55</v>
      </c>
      <c r="F425" s="50" t="s">
        <v>59</v>
      </c>
      <c r="G425" s="50"/>
      <c r="H425" s="50"/>
    </row>
    <row r="426" spans="1:8" x14ac:dyDescent="0.2">
      <c r="A426" s="46"/>
      <c r="B426" s="47"/>
      <c r="C426" s="48">
        <v>45512</v>
      </c>
      <c r="D426" s="54">
        <v>-2346.48</v>
      </c>
      <c r="E426" s="50" t="s">
        <v>49</v>
      </c>
      <c r="F426" s="50" t="s">
        <v>69</v>
      </c>
      <c r="G426" s="50"/>
      <c r="H426" s="50"/>
    </row>
    <row r="427" spans="1:8" x14ac:dyDescent="0.2">
      <c r="A427" s="46"/>
      <c r="B427" s="47"/>
      <c r="C427" s="48">
        <v>45535</v>
      </c>
      <c r="D427" s="54">
        <v>3100</v>
      </c>
      <c r="E427" s="50" t="s">
        <v>8</v>
      </c>
      <c r="F427" s="50"/>
      <c r="G427" s="50"/>
      <c r="H427" s="50"/>
    </row>
    <row r="428" spans="1:8" x14ac:dyDescent="0.2">
      <c r="A428" s="46"/>
      <c r="B428" s="47"/>
      <c r="C428" s="48">
        <v>45540</v>
      </c>
      <c r="D428" s="54">
        <v>-736.69</v>
      </c>
      <c r="E428" s="50" t="s">
        <v>55</v>
      </c>
      <c r="F428" s="50"/>
      <c r="G428" s="50"/>
      <c r="H428" s="50"/>
    </row>
    <row r="429" spans="1:8" x14ac:dyDescent="0.2">
      <c r="A429" s="46"/>
      <c r="B429" s="47"/>
      <c r="C429" s="48">
        <v>45540</v>
      </c>
      <c r="D429" s="54">
        <v>-2363.31</v>
      </c>
      <c r="E429" s="50" t="s">
        <v>49</v>
      </c>
      <c r="F429" s="50"/>
      <c r="G429" s="50"/>
      <c r="H429" s="50"/>
    </row>
    <row r="430" spans="1:8" x14ac:dyDescent="0.2">
      <c r="A430" s="46"/>
      <c r="B430" s="47"/>
      <c r="C430" s="48">
        <v>45565</v>
      </c>
      <c r="D430" s="54">
        <v>3100</v>
      </c>
      <c r="E430" s="50" t="s">
        <v>8</v>
      </c>
      <c r="F430" s="50" t="s">
        <v>70</v>
      </c>
      <c r="G430" s="50"/>
      <c r="H430" s="50"/>
    </row>
    <row r="431" spans="1:8" x14ac:dyDescent="0.2">
      <c r="A431" s="46"/>
      <c r="B431" s="47"/>
      <c r="C431" s="48">
        <v>45567</v>
      </c>
      <c r="D431" s="54">
        <v>-729.76</v>
      </c>
      <c r="E431" s="50" t="s">
        <v>55</v>
      </c>
      <c r="F431" s="50"/>
      <c r="G431" s="50"/>
      <c r="H431" s="50"/>
    </row>
    <row r="432" spans="1:8" x14ac:dyDescent="0.2">
      <c r="A432" s="46"/>
      <c r="B432" s="47"/>
      <c r="C432" s="48">
        <v>45567</v>
      </c>
      <c r="D432" s="54">
        <v>-2370.2399999999998</v>
      </c>
      <c r="E432" s="50" t="s">
        <v>49</v>
      </c>
      <c r="F432" s="50"/>
      <c r="G432" s="50"/>
      <c r="H432" s="50"/>
    </row>
    <row r="433" spans="1:8" x14ac:dyDescent="0.2">
      <c r="A433" s="46"/>
      <c r="B433" s="50"/>
      <c r="C433" s="48">
        <v>45596</v>
      </c>
      <c r="D433" s="54">
        <v>3400</v>
      </c>
      <c r="E433" s="50" t="s">
        <v>8</v>
      </c>
      <c r="F433" s="50"/>
      <c r="G433" s="50"/>
      <c r="H433" s="50"/>
    </row>
    <row r="434" spans="1:8" x14ac:dyDescent="0.2">
      <c r="A434" s="46"/>
      <c r="B434" s="50"/>
      <c r="C434" s="48">
        <v>45604</v>
      </c>
      <c r="D434" s="54">
        <v>-729.61</v>
      </c>
      <c r="E434" s="50" t="s">
        <v>55</v>
      </c>
      <c r="F434" s="50"/>
      <c r="G434" s="50"/>
      <c r="H434" s="50"/>
    </row>
    <row r="435" spans="1:8" x14ac:dyDescent="0.2">
      <c r="A435" s="46"/>
      <c r="B435" s="50"/>
      <c r="C435" s="48">
        <v>45604</v>
      </c>
      <c r="D435" s="54">
        <v>-2670.39</v>
      </c>
      <c r="E435" s="50" t="s">
        <v>49</v>
      </c>
      <c r="F435" s="50"/>
      <c r="G435" s="50"/>
      <c r="H435" s="50"/>
    </row>
    <row r="436" spans="1:8" x14ac:dyDescent="0.2">
      <c r="A436" s="46"/>
      <c r="B436" s="50"/>
      <c r="C436" s="48">
        <v>45626</v>
      </c>
      <c r="D436" s="54">
        <v>3400</v>
      </c>
      <c r="E436" s="50" t="s">
        <v>8</v>
      </c>
      <c r="F436" s="50"/>
      <c r="G436" s="50"/>
      <c r="H436" s="50"/>
    </row>
    <row r="437" spans="1:8" x14ac:dyDescent="0.2">
      <c r="A437" s="46"/>
      <c r="B437" s="50"/>
      <c r="C437" s="48">
        <v>45631</v>
      </c>
      <c r="D437" s="54">
        <v>-721.56</v>
      </c>
      <c r="E437" s="50" t="s">
        <v>55</v>
      </c>
      <c r="F437" s="50"/>
      <c r="G437" s="50"/>
      <c r="H437" s="50"/>
    </row>
    <row r="438" spans="1:8" x14ac:dyDescent="0.2">
      <c r="A438" s="46"/>
      <c r="B438" s="50"/>
      <c r="C438" s="48">
        <v>45631</v>
      </c>
      <c r="D438" s="54">
        <v>-2678.44</v>
      </c>
      <c r="E438" s="50" t="s">
        <v>49</v>
      </c>
      <c r="F438" s="50"/>
      <c r="G438" s="50"/>
      <c r="H438" s="50"/>
    </row>
    <row r="439" spans="1:8" x14ac:dyDescent="0.2">
      <c r="A439" s="46"/>
      <c r="B439" s="50"/>
      <c r="C439" s="48">
        <v>45657</v>
      </c>
      <c r="D439" s="54">
        <v>3400</v>
      </c>
      <c r="E439" s="50" t="s">
        <v>8</v>
      </c>
      <c r="F439" s="50"/>
      <c r="G439" s="50"/>
      <c r="H439" s="50"/>
    </row>
    <row r="440" spans="1:8" x14ac:dyDescent="0.2">
      <c r="A440" s="46"/>
      <c r="B440" s="50"/>
      <c r="C440" s="48">
        <v>45664</v>
      </c>
      <c r="D440" s="54">
        <v>-708.33</v>
      </c>
      <c r="E440" s="50" t="s">
        <v>55</v>
      </c>
      <c r="F440" s="50"/>
      <c r="G440" s="50"/>
      <c r="H440" s="50"/>
    </row>
    <row r="441" spans="1:8" x14ac:dyDescent="0.2">
      <c r="A441" s="46"/>
      <c r="B441" s="50"/>
      <c r="C441" s="48">
        <v>45664</v>
      </c>
      <c r="D441" s="54">
        <v>-2691.67</v>
      </c>
      <c r="E441" s="50" t="s">
        <v>49</v>
      </c>
      <c r="F441" s="50"/>
      <c r="G441" s="50"/>
      <c r="H441" s="50"/>
    </row>
    <row r="442" spans="1:8" x14ac:dyDescent="0.2">
      <c r="A442" s="46"/>
      <c r="B442" s="50"/>
      <c r="C442" s="48">
        <v>45688</v>
      </c>
      <c r="D442" s="54">
        <v>3400</v>
      </c>
      <c r="E442" s="50" t="s">
        <v>8</v>
      </c>
      <c r="F442" s="50"/>
      <c r="G442" s="50"/>
      <c r="H442" s="50"/>
    </row>
    <row r="443" spans="1:8" x14ac:dyDescent="0.2">
      <c r="A443" s="46"/>
      <c r="B443" s="50"/>
      <c r="C443" s="48">
        <v>45694</v>
      </c>
      <c r="D443" s="54">
        <v>-693.88</v>
      </c>
      <c r="E443" s="50" t="s">
        <v>55</v>
      </c>
      <c r="F443" s="50"/>
      <c r="G443" s="50"/>
      <c r="H443" s="50"/>
    </row>
    <row r="444" spans="1:8" x14ac:dyDescent="0.2">
      <c r="A444" s="46"/>
      <c r="B444" s="50"/>
      <c r="C444" s="48">
        <v>45694</v>
      </c>
      <c r="D444" s="54">
        <v>-2706.12</v>
      </c>
      <c r="E444" s="50" t="s">
        <v>49</v>
      </c>
      <c r="F444" s="50"/>
      <c r="G444" s="50"/>
      <c r="H444" s="50"/>
    </row>
    <row r="445" spans="1:8" x14ac:dyDescent="0.2">
      <c r="A445" s="46"/>
      <c r="B445" s="50"/>
      <c r="C445" s="48">
        <v>45716</v>
      </c>
      <c r="D445" s="54">
        <v>3400</v>
      </c>
      <c r="E445" s="50" t="s">
        <v>8</v>
      </c>
      <c r="F445" s="50"/>
      <c r="G445" s="50"/>
      <c r="H445" s="50"/>
    </row>
    <row r="446" spans="1:8" x14ac:dyDescent="0.2">
      <c r="A446" s="46"/>
      <c r="B446" s="50"/>
      <c r="C446" s="48">
        <v>45723</v>
      </c>
      <c r="D446" s="54">
        <v>-684.93</v>
      </c>
      <c r="E446" s="50" t="s">
        <v>55</v>
      </c>
      <c r="F446" s="50"/>
      <c r="G446" s="50"/>
      <c r="H446" s="50"/>
    </row>
    <row r="447" spans="1:8" x14ac:dyDescent="0.2">
      <c r="A447" s="46"/>
      <c r="B447" s="50"/>
      <c r="C447" s="48">
        <v>45723</v>
      </c>
      <c r="D447" s="54">
        <v>-2715.07</v>
      </c>
      <c r="E447" s="50" t="s">
        <v>49</v>
      </c>
      <c r="F447" s="50"/>
      <c r="G447" s="50"/>
      <c r="H447" s="50"/>
    </row>
    <row r="448" spans="1:8" x14ac:dyDescent="0.2">
      <c r="A448" s="46"/>
      <c r="B448" s="50"/>
      <c r="C448" s="48">
        <v>45747</v>
      </c>
      <c r="D448" s="54">
        <v>3400</v>
      </c>
      <c r="E448" s="50" t="s">
        <v>8</v>
      </c>
      <c r="F448" s="50"/>
      <c r="G448" s="50"/>
      <c r="H448" s="50"/>
    </row>
    <row r="449" spans="1:8" x14ac:dyDescent="0.2">
      <c r="A449" s="46"/>
      <c r="B449" s="50"/>
      <c r="C449" s="48">
        <v>45758</v>
      </c>
      <c r="D449" s="54">
        <v>-656.88</v>
      </c>
      <c r="E449" s="50" t="s">
        <v>55</v>
      </c>
      <c r="F449" s="50"/>
      <c r="G449" s="50"/>
      <c r="H449" s="50"/>
    </row>
    <row r="450" spans="1:8" x14ac:dyDescent="0.2">
      <c r="A450" s="46"/>
      <c r="B450" s="50"/>
      <c r="C450" s="48">
        <v>45758</v>
      </c>
      <c r="D450" s="54">
        <v>-2743.12</v>
      </c>
      <c r="E450" s="50" t="s">
        <v>49</v>
      </c>
      <c r="F450" s="50"/>
      <c r="G450" s="50"/>
      <c r="H450" s="50"/>
    </row>
    <row r="451" spans="1:8" x14ac:dyDescent="0.2">
      <c r="A451" s="46"/>
      <c r="B451" s="50"/>
      <c r="C451" s="48">
        <v>45777</v>
      </c>
      <c r="D451" s="54">
        <v>3400</v>
      </c>
      <c r="E451" s="50" t="s">
        <v>8</v>
      </c>
      <c r="F451" s="50"/>
      <c r="G451" s="50"/>
      <c r="H451" s="50"/>
    </row>
    <row r="452" spans="1:8" x14ac:dyDescent="0.2">
      <c r="A452" s="46"/>
      <c r="B452" s="50"/>
      <c r="C452" s="48">
        <v>45789</v>
      </c>
      <c r="D452" s="54">
        <v>-644.42999999999995</v>
      </c>
      <c r="E452" s="50" t="s">
        <v>55</v>
      </c>
      <c r="F452" s="50"/>
      <c r="G452" s="50"/>
      <c r="H452" s="50"/>
    </row>
    <row r="453" spans="1:8" x14ac:dyDescent="0.2">
      <c r="A453" s="46"/>
      <c r="B453" s="50"/>
      <c r="C453" s="48">
        <v>45789</v>
      </c>
      <c r="D453" s="54">
        <v>-2755.57</v>
      </c>
      <c r="E453" s="50" t="s">
        <v>49</v>
      </c>
      <c r="F453" s="50"/>
      <c r="G453" s="50"/>
      <c r="H453" s="50"/>
    </row>
    <row r="454" spans="1:8" x14ac:dyDescent="0.2">
      <c r="A454" s="46"/>
      <c r="B454" s="50"/>
      <c r="C454" s="48">
        <v>45808</v>
      </c>
      <c r="D454" s="54">
        <v>3400</v>
      </c>
      <c r="E454" s="50" t="s">
        <v>8</v>
      </c>
      <c r="F454" s="50"/>
      <c r="G454" s="50"/>
      <c r="H454" s="50"/>
    </row>
    <row r="455" spans="1:8" x14ac:dyDescent="0.2">
      <c r="A455" s="46"/>
      <c r="B455" s="50"/>
      <c r="C455" s="48">
        <v>45819</v>
      </c>
      <c r="D455" s="54">
        <v>-636.70000000000005</v>
      </c>
      <c r="E455" s="50" t="s">
        <v>55</v>
      </c>
      <c r="F455" s="50"/>
      <c r="G455" s="50"/>
      <c r="H455" s="50"/>
    </row>
    <row r="456" spans="1:8" x14ac:dyDescent="0.2">
      <c r="A456" s="46"/>
      <c r="B456" s="50"/>
      <c r="C456" s="48">
        <v>45819</v>
      </c>
      <c r="D456" s="54">
        <v>-2763.3</v>
      </c>
      <c r="E456" s="50" t="s">
        <v>49</v>
      </c>
      <c r="F456" s="50"/>
      <c r="G456" s="50"/>
      <c r="H456" s="50"/>
    </row>
    <row r="457" spans="1:8" x14ac:dyDescent="0.2">
      <c r="A457" s="46"/>
      <c r="B457" s="50"/>
      <c r="C457" s="48">
        <v>45838</v>
      </c>
      <c r="D457" s="54">
        <v>3400</v>
      </c>
      <c r="E457" s="50" t="s">
        <v>8</v>
      </c>
      <c r="F457" s="50"/>
      <c r="G457" s="50"/>
      <c r="H457" s="50"/>
    </row>
    <row r="458" spans="1:8" x14ac:dyDescent="0.2">
      <c r="A458" s="46"/>
      <c r="B458" s="50"/>
      <c r="C458" s="48">
        <v>45846</v>
      </c>
      <c r="D458" s="54">
        <v>-624.08000000000004</v>
      </c>
      <c r="E458" s="50" t="s">
        <v>55</v>
      </c>
      <c r="F458" s="50"/>
      <c r="G458" s="50"/>
      <c r="H458" s="50"/>
    </row>
    <row r="459" spans="1:8" x14ac:dyDescent="0.2">
      <c r="A459" s="46"/>
      <c r="B459" s="50"/>
      <c r="C459" s="48">
        <v>45846</v>
      </c>
      <c r="D459" s="54">
        <v>-2775.92</v>
      </c>
      <c r="E459" s="50" t="s">
        <v>49</v>
      </c>
      <c r="F459" s="50"/>
      <c r="G459" s="50"/>
      <c r="H459" s="50"/>
    </row>
    <row r="460" spans="1:8" x14ac:dyDescent="0.2">
      <c r="A460" s="46"/>
      <c r="B460" s="50"/>
      <c r="C460" s="48">
        <v>45869</v>
      </c>
      <c r="D460" s="54">
        <v>3400</v>
      </c>
      <c r="E460" s="50" t="s">
        <v>8</v>
      </c>
      <c r="F460" s="50"/>
      <c r="G460" s="50"/>
      <c r="H460" s="50"/>
    </row>
    <row r="461" spans="1:8" x14ac:dyDescent="0.2">
      <c r="A461" s="46"/>
      <c r="B461" s="50"/>
      <c r="C461" s="48">
        <v>45875</v>
      </c>
      <c r="D461" s="54">
        <v>-614.61</v>
      </c>
      <c r="E461" s="50" t="s">
        <v>55</v>
      </c>
      <c r="F461" s="50"/>
      <c r="G461" s="50"/>
      <c r="H461" s="50"/>
    </row>
    <row r="462" spans="1:8" x14ac:dyDescent="0.2">
      <c r="A462" s="46"/>
      <c r="B462" s="50"/>
      <c r="C462" s="48">
        <v>45875</v>
      </c>
      <c r="D462" s="54">
        <v>-2785.39</v>
      </c>
      <c r="E462" s="50" t="s">
        <v>49</v>
      </c>
      <c r="F462" s="50"/>
      <c r="G462" s="50"/>
      <c r="H462" s="50"/>
    </row>
    <row r="463" spans="1:8" x14ac:dyDescent="0.2">
      <c r="A463" s="46"/>
      <c r="B463" s="50"/>
      <c r="C463" s="48">
        <v>45900</v>
      </c>
      <c r="D463" s="54">
        <v>3400</v>
      </c>
      <c r="E463" s="50" t="s">
        <v>8</v>
      </c>
      <c r="F463" s="50"/>
      <c r="G463" s="50"/>
      <c r="H463" s="50"/>
    </row>
    <row r="464" spans="1:8" x14ac:dyDescent="0.2">
      <c r="A464" s="46"/>
      <c r="B464" s="50"/>
      <c r="C464" s="48">
        <v>45908</v>
      </c>
      <c r="D464" s="54">
        <v>-606.05999999999995</v>
      </c>
      <c r="E464" s="50" t="s">
        <v>55</v>
      </c>
      <c r="F464" s="50"/>
      <c r="G464" s="50"/>
      <c r="H464" s="50"/>
    </row>
    <row r="465" spans="1:8" x14ac:dyDescent="0.2">
      <c r="A465" s="46"/>
      <c r="B465" s="50"/>
      <c r="C465" s="48">
        <v>45908</v>
      </c>
      <c r="D465" s="54">
        <v>-2793.94</v>
      </c>
      <c r="E465" s="50" t="s">
        <v>49</v>
      </c>
      <c r="F465" s="50"/>
      <c r="G465" s="50"/>
      <c r="H465" s="50"/>
    </row>
    <row r="466" spans="1:8" x14ac:dyDescent="0.2">
      <c r="A466" s="46"/>
      <c r="B466" s="50"/>
      <c r="C466" s="48">
        <v>45930</v>
      </c>
      <c r="D466" s="54">
        <v>3400</v>
      </c>
      <c r="E466" s="50" t="s">
        <v>8</v>
      </c>
      <c r="F466" s="50" t="s">
        <v>71</v>
      </c>
      <c r="G466" s="50"/>
      <c r="H466" s="50"/>
    </row>
    <row r="467" spans="1:8" x14ac:dyDescent="0.2">
      <c r="A467" s="46"/>
      <c r="B467" s="50"/>
      <c r="C467" s="48">
        <v>45940</v>
      </c>
      <c r="D467" s="54">
        <v>-597.33000000000004</v>
      </c>
      <c r="E467" s="50" t="s">
        <v>55</v>
      </c>
      <c r="F467" s="50"/>
      <c r="G467" s="50"/>
      <c r="H467" s="50"/>
    </row>
    <row r="468" spans="1:8" x14ac:dyDescent="0.2">
      <c r="A468" s="46"/>
      <c r="B468" s="50"/>
      <c r="C468" s="48">
        <v>45940</v>
      </c>
      <c r="D468" s="54">
        <v>-2802.67</v>
      </c>
      <c r="E468" s="50" t="s">
        <v>49</v>
      </c>
      <c r="F468" s="50"/>
      <c r="G468" s="50"/>
      <c r="H468" s="50"/>
    </row>
    <row r="469" spans="1:8" x14ac:dyDescent="0.2">
      <c r="A469" s="50"/>
      <c r="B469" s="50"/>
      <c r="C469" s="48">
        <v>45961</v>
      </c>
      <c r="D469" s="54">
        <v>3740</v>
      </c>
      <c r="E469" s="50" t="s">
        <v>8</v>
      </c>
      <c r="F469" s="50"/>
      <c r="G469" s="50"/>
      <c r="H469" s="50"/>
    </row>
    <row r="470" spans="1:8" x14ac:dyDescent="0.2">
      <c r="A470" s="50"/>
      <c r="B470" s="50"/>
      <c r="C470" s="48">
        <v>45974</v>
      </c>
      <c r="D470" s="54">
        <v>-2922.02</v>
      </c>
      <c r="E470" s="50" t="s">
        <v>49</v>
      </c>
      <c r="F470" s="50"/>
      <c r="G470" s="50"/>
      <c r="H470" s="50"/>
    </row>
    <row r="471" spans="1:8" x14ac:dyDescent="0.2">
      <c r="A471" s="50"/>
      <c r="B471" s="50"/>
      <c r="C471" s="48">
        <v>45974</v>
      </c>
      <c r="D471" s="54">
        <v>-108.75</v>
      </c>
      <c r="E471" s="50" t="s">
        <v>72</v>
      </c>
      <c r="F471" s="50" t="s">
        <v>73</v>
      </c>
      <c r="G471" s="50"/>
      <c r="H471" s="50"/>
    </row>
    <row r="472" spans="1:8" x14ac:dyDescent="0.2">
      <c r="A472" s="50"/>
      <c r="B472" s="50"/>
      <c r="C472" s="48"/>
      <c r="D472" s="54">
        <v>-709.23</v>
      </c>
      <c r="E472" s="50" t="s">
        <v>55</v>
      </c>
      <c r="F472" s="50"/>
      <c r="G472" s="50"/>
      <c r="H472" s="50"/>
    </row>
    <row r="473" spans="1:8" x14ac:dyDescent="0.2">
      <c r="A473" s="50"/>
      <c r="B473" s="50"/>
      <c r="C473" s="48">
        <v>45991</v>
      </c>
      <c r="D473" s="54">
        <v>3740</v>
      </c>
      <c r="E473" s="50" t="s">
        <v>8</v>
      </c>
      <c r="F473" s="50"/>
      <c r="G473" s="50"/>
      <c r="H473" s="50"/>
    </row>
    <row r="474" spans="1:8" x14ac:dyDescent="0.2">
      <c r="A474" s="50"/>
      <c r="B474" s="50"/>
      <c r="C474" s="48">
        <v>46006</v>
      </c>
      <c r="D474" s="54">
        <v>-3038.75</v>
      </c>
      <c r="E474" s="50" t="s">
        <v>49</v>
      </c>
      <c r="F474" s="50"/>
      <c r="G474" s="50"/>
      <c r="H474" s="50"/>
    </row>
    <row r="475" spans="1:8" x14ac:dyDescent="0.2">
      <c r="A475" s="50"/>
      <c r="B475" s="50"/>
      <c r="C475" s="48">
        <v>46006</v>
      </c>
      <c r="D475" s="54">
        <v>-701.25</v>
      </c>
      <c r="E475" s="50" t="s">
        <v>55</v>
      </c>
      <c r="F475" s="50"/>
      <c r="G475" s="50"/>
      <c r="H475" s="50"/>
    </row>
    <row r="476" spans="1:8" x14ac:dyDescent="0.2">
      <c r="A476" s="50"/>
      <c r="B476" s="50"/>
      <c r="C476" s="48">
        <v>46022</v>
      </c>
      <c r="D476" s="54">
        <v>3740</v>
      </c>
      <c r="E476" s="50" t="s">
        <v>8</v>
      </c>
      <c r="F476" s="50"/>
      <c r="G476" s="50"/>
      <c r="H476" s="50"/>
    </row>
    <row r="477" spans="1:8" x14ac:dyDescent="0.2">
      <c r="A477" s="50"/>
      <c r="B477" s="50"/>
      <c r="C477" s="48">
        <v>46035</v>
      </c>
      <c r="D477" s="54">
        <v>-3046</v>
      </c>
      <c r="E477" s="50" t="s">
        <v>49</v>
      </c>
      <c r="F477" s="50"/>
      <c r="G477" s="50"/>
      <c r="H477" s="50"/>
    </row>
    <row r="478" spans="1:8" x14ac:dyDescent="0.2">
      <c r="A478" s="50"/>
      <c r="B478" s="50"/>
      <c r="C478" s="48">
        <v>46035</v>
      </c>
      <c r="D478" s="54">
        <v>-694</v>
      </c>
      <c r="E478" s="50" t="s">
        <v>55</v>
      </c>
      <c r="F478" s="50"/>
      <c r="G478" s="50"/>
      <c r="H478" s="50"/>
    </row>
    <row r="479" spans="1:8" x14ac:dyDescent="0.2">
      <c r="A479" s="50"/>
      <c r="B479" s="50"/>
      <c r="C479" s="48">
        <v>46053</v>
      </c>
      <c r="D479" s="54">
        <v>3740</v>
      </c>
      <c r="E479" s="50"/>
      <c r="F479" s="50"/>
      <c r="G479" s="50"/>
      <c r="H479" s="50"/>
    </row>
    <row r="480" spans="1:8" x14ac:dyDescent="0.2">
      <c r="A480" s="50"/>
      <c r="B480" s="50"/>
      <c r="C480" s="48">
        <v>46062</v>
      </c>
      <c r="D480" s="54">
        <v>-3054.18</v>
      </c>
      <c r="E480" s="50" t="s">
        <v>49</v>
      </c>
      <c r="F480" s="50"/>
      <c r="G480" s="50"/>
      <c r="H480" s="50"/>
    </row>
    <row r="481" spans="1:8" x14ac:dyDescent="0.2">
      <c r="A481" s="50"/>
      <c r="B481" s="50"/>
      <c r="C481" s="48">
        <v>46062</v>
      </c>
      <c r="D481" s="54">
        <v>-685.82</v>
      </c>
      <c r="E481" s="50" t="s">
        <v>55</v>
      </c>
      <c r="F481" s="50"/>
      <c r="G481" s="50"/>
      <c r="H481" s="50"/>
    </row>
    <row r="482" spans="1:8" x14ac:dyDescent="0.2">
      <c r="A482" s="50"/>
      <c r="B482" s="50"/>
      <c r="C482" s="48">
        <v>46081</v>
      </c>
      <c r="D482" s="54">
        <v>3740</v>
      </c>
      <c r="E482" s="50"/>
      <c r="F482" s="50"/>
      <c r="G482" s="50"/>
      <c r="H482" s="50"/>
    </row>
    <row r="483" spans="1:8" x14ac:dyDescent="0.2">
      <c r="A483" s="50"/>
      <c r="B483" s="50"/>
      <c r="C483" s="48">
        <v>46093</v>
      </c>
      <c r="D483" s="54">
        <v>-3060.31</v>
      </c>
      <c r="E483" s="50" t="s">
        <v>49</v>
      </c>
      <c r="F483" s="50"/>
      <c r="G483" s="50"/>
      <c r="H483" s="50"/>
    </row>
    <row r="484" spans="1:8" x14ac:dyDescent="0.2">
      <c r="A484" s="52"/>
      <c r="B484" s="52"/>
      <c r="C484" s="53">
        <v>46093</v>
      </c>
      <c r="D484" s="54">
        <v>-679.69</v>
      </c>
      <c r="E484" s="52" t="s">
        <v>55</v>
      </c>
      <c r="F484" s="52"/>
      <c r="G484" s="52"/>
      <c r="H484" s="52"/>
    </row>
    <row r="485" spans="1:8" x14ac:dyDescent="0.2">
      <c r="A485" s="50"/>
      <c r="B485" s="50"/>
      <c r="C485" s="48">
        <v>46112</v>
      </c>
      <c r="D485" s="54">
        <v>3740</v>
      </c>
      <c r="E485" s="50"/>
      <c r="F485" s="50"/>
      <c r="G485" s="50"/>
      <c r="H485" s="50"/>
    </row>
    <row r="486" spans="1:8" x14ac:dyDescent="0.2">
      <c r="A486" s="50"/>
      <c r="B486" s="50"/>
      <c r="C486" s="48"/>
      <c r="D486" s="31"/>
      <c r="E486" s="50"/>
      <c r="F486" s="50"/>
      <c r="G486" s="50"/>
      <c r="H486" s="50"/>
    </row>
    <row r="487" spans="1:8" x14ac:dyDescent="0.2">
      <c r="A487" s="50"/>
      <c r="B487" s="50"/>
      <c r="C487" s="48"/>
      <c r="D487" s="31"/>
      <c r="E487" s="50"/>
      <c r="F487" s="50"/>
      <c r="G487" s="50"/>
      <c r="H487" s="50"/>
    </row>
    <row r="488" spans="1:8" x14ac:dyDescent="0.2">
      <c r="A488" s="50"/>
      <c r="B488" s="50"/>
      <c r="C488" s="48">
        <v>46142</v>
      </c>
      <c r="D488" s="54">
        <v>3740</v>
      </c>
      <c r="E488" s="50"/>
      <c r="F488" s="50"/>
      <c r="G488" s="50"/>
      <c r="H488" s="50"/>
    </row>
    <row r="489" spans="1:8" x14ac:dyDescent="0.2">
      <c r="A489" s="50"/>
      <c r="B489" s="50"/>
      <c r="C489" s="48"/>
      <c r="D489" s="31"/>
      <c r="E489" s="50"/>
      <c r="F489" s="50"/>
      <c r="G489" s="50"/>
      <c r="H489" s="50"/>
    </row>
    <row r="490" spans="1:8" x14ac:dyDescent="0.2">
      <c r="A490" s="50"/>
      <c r="B490" s="50"/>
      <c r="C490" s="48"/>
      <c r="D490" s="31"/>
      <c r="E490" s="50"/>
      <c r="F490" s="50"/>
      <c r="G490" s="50"/>
      <c r="H490" s="50"/>
    </row>
    <row r="491" spans="1:8" x14ac:dyDescent="0.2">
      <c r="A491" s="50"/>
      <c r="B491" s="50"/>
      <c r="C491" s="48">
        <v>46173</v>
      </c>
      <c r="D491" s="54">
        <v>3740</v>
      </c>
      <c r="E491" s="50"/>
      <c r="F491" s="50"/>
      <c r="G491" s="50"/>
      <c r="H491" s="50"/>
    </row>
    <row r="492" spans="1:8" x14ac:dyDescent="0.2">
      <c r="A492" s="50"/>
      <c r="B492" s="50"/>
      <c r="C492" s="48"/>
      <c r="D492" s="31"/>
      <c r="E492" s="50"/>
      <c r="F492" s="50"/>
      <c r="G492" s="50"/>
      <c r="H492" s="50"/>
    </row>
    <row r="493" spans="1:8" x14ac:dyDescent="0.2">
      <c r="A493" s="50"/>
      <c r="B493" s="50"/>
      <c r="C493" s="48"/>
      <c r="D493" s="31"/>
      <c r="E493" s="50"/>
      <c r="F493" s="50"/>
      <c r="G493" s="50"/>
      <c r="H493" s="50"/>
    </row>
    <row r="494" spans="1:8" x14ac:dyDescent="0.2">
      <c r="A494" s="50"/>
      <c r="B494" s="50"/>
      <c r="C494" s="48">
        <v>46203</v>
      </c>
      <c r="D494" s="54">
        <v>3740</v>
      </c>
      <c r="E494" s="50"/>
      <c r="F494" s="50"/>
      <c r="G494" s="50"/>
      <c r="H494" s="50"/>
    </row>
    <row r="495" spans="1:8" x14ac:dyDescent="0.2">
      <c r="A495" s="50"/>
      <c r="B495" s="50"/>
      <c r="C495" s="48"/>
      <c r="D495" s="31"/>
      <c r="E495" s="50"/>
      <c r="F495" s="50"/>
      <c r="G495" s="50"/>
      <c r="H495" s="50"/>
    </row>
    <row r="496" spans="1:8" x14ac:dyDescent="0.2">
      <c r="A496" s="50"/>
      <c r="B496" s="50"/>
      <c r="C496" s="48"/>
      <c r="D496" s="31"/>
      <c r="E496" s="50"/>
      <c r="F496" s="50"/>
      <c r="G496" s="50"/>
      <c r="H496" s="50"/>
    </row>
    <row r="497" spans="1:8" x14ac:dyDescent="0.2">
      <c r="A497" s="50"/>
      <c r="B497" s="50"/>
      <c r="C497" s="48">
        <v>46234</v>
      </c>
      <c r="D497" s="54">
        <v>3740</v>
      </c>
      <c r="E497" s="50"/>
      <c r="F497" s="50"/>
      <c r="G497" s="50"/>
      <c r="H497" s="50"/>
    </row>
    <row r="498" spans="1:8" x14ac:dyDescent="0.2">
      <c r="A498" s="50"/>
      <c r="B498" s="50"/>
      <c r="C498" s="48"/>
      <c r="D498" s="31"/>
      <c r="E498" s="50"/>
      <c r="F498" s="50"/>
      <c r="G498" s="50"/>
      <c r="H498" s="50"/>
    </row>
    <row r="499" spans="1:8" x14ac:dyDescent="0.2">
      <c r="A499" s="50"/>
      <c r="B499" s="50"/>
      <c r="C499" s="48"/>
      <c r="D499" s="31"/>
      <c r="E499" s="50"/>
      <c r="F499" s="50"/>
      <c r="G499" s="50"/>
      <c r="H499" s="50"/>
    </row>
    <row r="500" spans="1:8" x14ac:dyDescent="0.2">
      <c r="A500" s="50"/>
      <c r="B500" s="50"/>
      <c r="C500" s="48">
        <v>46265</v>
      </c>
      <c r="D500" s="54">
        <v>3740</v>
      </c>
      <c r="E500" s="50"/>
      <c r="F500" s="50"/>
      <c r="G500" s="50"/>
      <c r="H500" s="50"/>
    </row>
    <row r="501" spans="1:8" x14ac:dyDescent="0.2">
      <c r="A501" s="50"/>
      <c r="B501" s="50"/>
      <c r="C501" s="48"/>
      <c r="D501" s="51"/>
      <c r="E501" s="50"/>
      <c r="F501" s="50"/>
      <c r="G501" s="50"/>
      <c r="H501" s="50"/>
    </row>
    <row r="502" spans="1:8" x14ac:dyDescent="0.2">
      <c r="A502" s="50"/>
      <c r="B502" s="50"/>
      <c r="C502" s="48"/>
      <c r="D502" s="51"/>
      <c r="E502" s="50"/>
      <c r="F502" s="50"/>
      <c r="G502" s="50"/>
      <c r="H502" s="50"/>
    </row>
    <row r="503" spans="1:8" x14ac:dyDescent="0.2">
      <c r="A503" s="50"/>
      <c r="B503" s="50"/>
      <c r="C503" s="48">
        <v>46295</v>
      </c>
      <c r="D503" s="51"/>
      <c r="E503" s="50"/>
      <c r="F503" s="50" t="s">
        <v>74</v>
      </c>
      <c r="G503" s="50"/>
      <c r="H503" s="50"/>
    </row>
    <row r="504" spans="1:8" x14ac:dyDescent="0.2">
      <c r="A504" s="50"/>
      <c r="B504" s="50"/>
      <c r="C504" s="48"/>
      <c r="D504" s="51"/>
      <c r="E504" s="50"/>
      <c r="F504" s="50"/>
      <c r="G504" s="50"/>
      <c r="H504" s="50"/>
    </row>
    <row r="505" spans="1:8" x14ac:dyDescent="0.2">
      <c r="A505" s="50"/>
      <c r="B505" s="50"/>
      <c r="C505" s="48"/>
      <c r="D505" s="51"/>
      <c r="E505" s="50"/>
      <c r="F505" s="50"/>
      <c r="G505" s="50"/>
      <c r="H505" s="50"/>
    </row>
    <row r="506" spans="1:8" x14ac:dyDescent="0.2">
      <c r="A506" s="50"/>
      <c r="B506" s="50"/>
      <c r="C506" s="48">
        <v>46326</v>
      </c>
      <c r="D506" s="51"/>
      <c r="E506" s="50"/>
      <c r="F506" s="50"/>
      <c r="G506" s="50"/>
      <c r="H506" s="50"/>
    </row>
    <row r="507" spans="1:8" x14ac:dyDescent="0.2">
      <c r="A507" s="50"/>
      <c r="B507" s="50"/>
      <c r="C507" s="48"/>
      <c r="D507" s="51"/>
      <c r="E507" s="50"/>
      <c r="F507" s="50"/>
      <c r="G507" s="50"/>
      <c r="H507" s="50"/>
    </row>
    <row r="508" spans="1:8" x14ac:dyDescent="0.2">
      <c r="A508" s="50"/>
      <c r="B508" s="50"/>
      <c r="C508" s="48"/>
      <c r="D508" s="51"/>
      <c r="E508" s="50"/>
      <c r="F508" s="50"/>
      <c r="G508" s="50"/>
      <c r="H508" s="50"/>
    </row>
    <row r="509" spans="1:8" x14ac:dyDescent="0.2">
      <c r="A509" s="50"/>
      <c r="B509" s="50"/>
      <c r="C509" s="48">
        <v>46356</v>
      </c>
      <c r="D509" s="51"/>
      <c r="E509" s="50"/>
      <c r="F509" s="50"/>
      <c r="G509" s="50"/>
      <c r="H509" s="50"/>
    </row>
    <row r="510" spans="1:8" x14ac:dyDescent="0.2">
      <c r="A510" s="50"/>
      <c r="B510" s="50"/>
      <c r="C510" s="48"/>
      <c r="D510" s="51"/>
      <c r="E510" s="50"/>
      <c r="F510" s="50"/>
      <c r="G510" s="50"/>
      <c r="H510" s="50"/>
    </row>
    <row r="511" spans="1:8" x14ac:dyDescent="0.2">
      <c r="A511" s="46"/>
      <c r="B511" s="50"/>
      <c r="C511" s="48"/>
      <c r="D511" s="49"/>
      <c r="E511" s="50"/>
      <c r="F511" s="50"/>
      <c r="G511" s="50"/>
      <c r="H511" s="50"/>
    </row>
    <row r="512" spans="1:8" x14ac:dyDescent="0.2">
      <c r="A512" s="38"/>
      <c r="B512" s="38"/>
      <c r="C512" s="38"/>
      <c r="D512" s="38"/>
      <c r="E512" s="38"/>
      <c r="F512" s="38"/>
      <c r="G512" s="38"/>
      <c r="H512" s="38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C76F-C5CE-3E43-ADD0-3ED44DEA284B}">
  <dimension ref="A1:K24"/>
  <sheetViews>
    <sheetView workbookViewId="0">
      <selection activeCell="I15" sqref="I15"/>
    </sheetView>
  </sheetViews>
  <sheetFormatPr baseColWidth="10" defaultRowHeight="16" x14ac:dyDescent="0.2"/>
  <cols>
    <col min="2" max="2" width="49.1640625" bestFit="1" customWidth="1"/>
    <col min="3" max="4" width="8.33203125" bestFit="1" customWidth="1"/>
    <col min="5" max="5" width="16" bestFit="1" customWidth="1"/>
    <col min="7" max="7" width="6.83203125" bestFit="1" customWidth="1"/>
    <col min="8" max="8" width="8.5" bestFit="1" customWidth="1"/>
    <col min="9" max="9" width="22.6640625" bestFit="1" customWidth="1"/>
    <col min="11" max="11" width="14" bestFit="1" customWidth="1"/>
  </cols>
  <sheetData>
    <row r="1" spans="1:11" ht="19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1" ht="19" x14ac:dyDescent="0.25">
      <c r="A2" s="14"/>
      <c r="B2" s="15" t="s">
        <v>16</v>
      </c>
      <c r="C2" s="14"/>
      <c r="D2" s="14"/>
      <c r="E2" s="14"/>
      <c r="F2" s="14"/>
      <c r="G2" s="14"/>
      <c r="H2" s="14"/>
      <c r="I2" s="14"/>
    </row>
    <row r="3" spans="1:11" ht="19" x14ac:dyDescent="0.25">
      <c r="A3" s="14"/>
      <c r="B3" s="15"/>
      <c r="C3" s="14"/>
      <c r="D3" s="14"/>
      <c r="E3" s="14"/>
      <c r="F3" s="14"/>
      <c r="G3" s="16"/>
      <c r="H3" s="17" t="s">
        <v>17</v>
      </c>
      <c r="I3" s="17" t="s">
        <v>18</v>
      </c>
    </row>
    <row r="4" spans="1:11" ht="19" x14ac:dyDescent="0.25">
      <c r="A4" s="14"/>
      <c r="B4" s="18">
        <f>E4/$E$8</f>
        <v>0.2</v>
      </c>
      <c r="C4" s="19">
        <f>E4/$E$8</f>
        <v>0.2</v>
      </c>
      <c r="D4" s="14" t="s">
        <v>19</v>
      </c>
      <c r="E4" s="20">
        <v>1000000</v>
      </c>
      <c r="F4" s="14"/>
      <c r="G4" s="17" t="s">
        <v>19</v>
      </c>
      <c r="H4" s="21">
        <f>B4+B12</f>
        <v>0.25</v>
      </c>
      <c r="I4" s="22">
        <f>E4+E12</f>
        <v>1230000</v>
      </c>
      <c r="K4" s="31"/>
    </row>
    <row r="5" spans="1:11" ht="19" x14ac:dyDescent="0.25">
      <c r="A5" s="14"/>
      <c r="B5" s="18">
        <f t="shared" ref="B5:B6" si="0">E5/$E$8</f>
        <v>0.05</v>
      </c>
      <c r="C5" s="19">
        <f>E5/$E$8</f>
        <v>0.05</v>
      </c>
      <c r="D5" s="14" t="s">
        <v>20</v>
      </c>
      <c r="E5" s="20">
        <v>250000</v>
      </c>
      <c r="F5" s="14"/>
      <c r="G5" s="17" t="s">
        <v>20</v>
      </c>
      <c r="H5" s="21">
        <f>B5+B13</f>
        <v>0.1</v>
      </c>
      <c r="I5" s="22">
        <f>E5+E13</f>
        <v>480000</v>
      </c>
    </row>
    <row r="6" spans="1:11" ht="20" thickBot="1" x14ac:dyDescent="0.3">
      <c r="A6" s="14"/>
      <c r="B6" s="18">
        <f t="shared" si="0"/>
        <v>0.5</v>
      </c>
      <c r="C6" s="19">
        <f>E6/$E$8</f>
        <v>0.5</v>
      </c>
      <c r="D6" s="14" t="s">
        <v>21</v>
      </c>
      <c r="E6" s="20">
        <f>2500000</f>
        <v>2500000</v>
      </c>
      <c r="F6" s="14"/>
      <c r="G6" s="23" t="s">
        <v>21</v>
      </c>
      <c r="H6" s="24">
        <f>B6+B14</f>
        <v>0.65</v>
      </c>
      <c r="I6" s="25">
        <f>E6+E14</f>
        <v>3190000</v>
      </c>
    </row>
    <row r="7" spans="1:11" ht="20" thickTop="1" x14ac:dyDescent="0.25">
      <c r="A7" s="14"/>
      <c r="B7" s="18">
        <f>E7/$E$8</f>
        <v>0.25</v>
      </c>
      <c r="C7" s="19">
        <f>E7/$E$8</f>
        <v>0.25</v>
      </c>
      <c r="D7" s="14" t="s">
        <v>22</v>
      </c>
      <c r="E7" s="20">
        <v>1250000</v>
      </c>
      <c r="F7" s="14"/>
      <c r="G7" s="26"/>
      <c r="H7" s="26"/>
      <c r="I7" s="27">
        <f>SUM(I4:I6)</f>
        <v>4900000</v>
      </c>
      <c r="K7" s="31"/>
    </row>
    <row r="8" spans="1:11" ht="19" x14ac:dyDescent="0.25">
      <c r="A8" s="14"/>
      <c r="B8" s="28"/>
      <c r="C8" s="19"/>
      <c r="D8" s="14"/>
      <c r="E8" s="29">
        <f>SUM(E4:E7)</f>
        <v>5000000</v>
      </c>
      <c r="F8" s="14"/>
      <c r="G8" s="14"/>
      <c r="H8" s="14"/>
      <c r="I8" s="14"/>
    </row>
    <row r="9" spans="1:11" ht="19" x14ac:dyDescent="0.25">
      <c r="A9" s="14"/>
      <c r="B9" s="28"/>
      <c r="C9" s="28"/>
      <c r="D9" s="14"/>
      <c r="E9" s="20"/>
      <c r="F9" s="14"/>
      <c r="G9" s="14"/>
      <c r="H9" s="14"/>
      <c r="I9" s="14"/>
    </row>
    <row r="10" spans="1:11" ht="19" x14ac:dyDescent="0.25">
      <c r="A10" s="14"/>
      <c r="B10" s="30" t="s">
        <v>23</v>
      </c>
      <c r="C10" s="28"/>
      <c r="D10" s="14"/>
      <c r="E10" s="20"/>
      <c r="F10" s="14"/>
      <c r="G10" s="14"/>
      <c r="H10" s="14"/>
      <c r="I10" s="14"/>
    </row>
    <row r="11" spans="1:11" ht="19" x14ac:dyDescent="0.25">
      <c r="A11" s="14"/>
      <c r="B11" s="28"/>
      <c r="C11" s="28"/>
      <c r="D11" s="14"/>
      <c r="E11" s="20"/>
      <c r="F11" s="14"/>
      <c r="G11" s="14"/>
      <c r="H11" s="14"/>
      <c r="I11" s="14"/>
    </row>
    <row r="12" spans="1:11" ht="19" x14ac:dyDescent="0.25">
      <c r="A12" s="14"/>
      <c r="B12" s="18">
        <f>C12*$D$16</f>
        <v>0.05</v>
      </c>
      <c r="C12" s="19">
        <f>E12/$E$16</f>
        <v>0.2</v>
      </c>
      <c r="D12" s="14" t="s">
        <v>19</v>
      </c>
      <c r="E12" s="20">
        <v>230000</v>
      </c>
      <c r="F12" s="14"/>
      <c r="G12" s="14"/>
      <c r="H12" s="14"/>
      <c r="I12" s="14"/>
    </row>
    <row r="13" spans="1:11" ht="19" x14ac:dyDescent="0.25">
      <c r="A13" s="14"/>
      <c r="B13" s="18">
        <f t="shared" ref="B13:B14" si="1">C13*$D$16</f>
        <v>0.05</v>
      </c>
      <c r="C13" s="19">
        <f t="shared" ref="C13:C14" si="2">E13/$E$16</f>
        <v>0.2</v>
      </c>
      <c r="D13" s="14" t="s">
        <v>20</v>
      </c>
      <c r="E13" s="20">
        <v>230000</v>
      </c>
      <c r="F13" s="14"/>
      <c r="G13" s="14"/>
      <c r="H13" s="14"/>
      <c r="I13" s="14"/>
    </row>
    <row r="14" spans="1:11" ht="19" x14ac:dyDescent="0.25">
      <c r="A14" s="14"/>
      <c r="B14" s="18">
        <f t="shared" si="1"/>
        <v>0.15</v>
      </c>
      <c r="C14" s="19">
        <f t="shared" si="2"/>
        <v>0.6</v>
      </c>
      <c r="D14" s="14" t="s">
        <v>21</v>
      </c>
      <c r="E14" s="20">
        <f>4600000/4*0.6</f>
        <v>690000</v>
      </c>
      <c r="F14" s="14"/>
      <c r="G14" s="14"/>
      <c r="H14" s="14"/>
      <c r="I14" s="14"/>
    </row>
    <row r="15" spans="1:11" ht="19" x14ac:dyDescent="0.25">
      <c r="A15" s="14"/>
      <c r="B15" s="19"/>
      <c r="C15" s="18"/>
      <c r="D15" s="14"/>
      <c r="E15" s="20"/>
      <c r="F15" s="14"/>
      <c r="G15" s="14"/>
      <c r="H15" s="14"/>
      <c r="I15" s="14"/>
    </row>
    <row r="16" spans="1:11" ht="19" x14ac:dyDescent="0.25">
      <c r="A16" s="14"/>
      <c r="B16" s="28"/>
      <c r="C16" s="18"/>
      <c r="D16" s="28">
        <v>0.25</v>
      </c>
      <c r="E16" s="29">
        <f>SUM(E12:E14)</f>
        <v>1150000</v>
      </c>
      <c r="F16" s="14"/>
      <c r="G16" s="14"/>
      <c r="H16" s="14"/>
      <c r="I16" s="14"/>
    </row>
    <row r="17" spans="1:9" ht="19" x14ac:dyDescent="0.25">
      <c r="A17" s="14"/>
      <c r="B17" s="28"/>
      <c r="C17" s="28"/>
      <c r="D17" s="14"/>
      <c r="E17" s="20"/>
      <c r="F17" s="14"/>
      <c r="G17" s="14"/>
      <c r="H17" s="14"/>
      <c r="I17" s="14"/>
    </row>
    <row r="18" spans="1:9" ht="19" x14ac:dyDescent="0.25">
      <c r="A18" s="14"/>
      <c r="B18" s="28"/>
      <c r="C18" s="28"/>
      <c r="D18" s="14"/>
      <c r="E18" s="14"/>
      <c r="F18" s="14"/>
      <c r="G18" s="14"/>
      <c r="H18" s="14"/>
      <c r="I18" s="14"/>
    </row>
    <row r="19" spans="1:9" ht="19" x14ac:dyDescent="0.25">
      <c r="A19" s="14"/>
      <c r="B19" s="28"/>
      <c r="C19" s="28"/>
      <c r="D19" s="14"/>
      <c r="E19" s="14"/>
      <c r="F19" s="14"/>
      <c r="G19" s="14"/>
      <c r="H19" s="14"/>
      <c r="I19" s="14"/>
    </row>
    <row r="20" spans="1:9" ht="19" x14ac:dyDescent="0.25">
      <c r="A20" s="14"/>
      <c r="B20" s="28"/>
      <c r="C20" s="18">
        <f>E20/$E$24</f>
        <v>0.25102040816326532</v>
      </c>
      <c r="D20" s="14"/>
      <c r="E20" s="20">
        <f>E4+E12</f>
        <v>1230000</v>
      </c>
      <c r="F20" s="14"/>
      <c r="G20" s="14"/>
      <c r="H20" s="14"/>
      <c r="I20" s="14"/>
    </row>
    <row r="21" spans="1:9" ht="19" x14ac:dyDescent="0.25">
      <c r="A21" s="14"/>
      <c r="B21" s="28"/>
      <c r="C21" s="18">
        <f>E21/$E$24</f>
        <v>9.7959183673469383E-2</v>
      </c>
      <c r="D21" s="14"/>
      <c r="E21" s="20">
        <f>E5+E13</f>
        <v>480000</v>
      </c>
      <c r="F21" s="14"/>
      <c r="G21" s="14"/>
      <c r="H21" s="14"/>
      <c r="I21" s="14"/>
    </row>
    <row r="22" spans="1:9" ht="19" x14ac:dyDescent="0.25">
      <c r="A22" s="14"/>
      <c r="B22" s="28"/>
      <c r="C22" s="18">
        <f>E22/$E$24</f>
        <v>0.65102040816326534</v>
      </c>
      <c r="D22" s="14"/>
      <c r="E22" s="20">
        <f>E6+E14</f>
        <v>3190000</v>
      </c>
      <c r="F22" s="14"/>
      <c r="G22" s="14"/>
      <c r="H22" s="14"/>
      <c r="I22" s="14"/>
    </row>
    <row r="23" spans="1:9" ht="19" x14ac:dyDescent="0.25">
      <c r="A23" s="14"/>
      <c r="B23" s="28"/>
      <c r="C23" s="18">
        <f>E23/$E$24</f>
        <v>0</v>
      </c>
      <c r="D23" s="14"/>
      <c r="E23" s="20"/>
      <c r="F23" s="14"/>
      <c r="G23" s="14"/>
      <c r="H23" s="14"/>
      <c r="I23" s="14"/>
    </row>
    <row r="24" spans="1:9" ht="19" x14ac:dyDescent="0.25">
      <c r="A24" s="14"/>
      <c r="B24" s="28"/>
      <c r="C24" s="28"/>
      <c r="D24" s="14"/>
      <c r="E24" s="29">
        <f>SUM(E20:E23)</f>
        <v>4900000</v>
      </c>
      <c r="F24" s="14"/>
      <c r="G24" s="14"/>
      <c r="H24" s="14"/>
      <c r="I2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ToDo</vt:lpstr>
      <vt:lpstr>Emre Barut - Done</vt:lpstr>
      <vt:lpstr>Murat Bayram - Done</vt:lpstr>
      <vt:lpstr>Birevim - Done</vt:lpstr>
      <vt:lpstr>Red Nirvana - Done</vt:lpstr>
      <vt:lpstr>GOP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Boyacioglu</dc:creator>
  <cp:lastModifiedBy>Can Boyacioglu</cp:lastModifiedBy>
  <dcterms:created xsi:type="dcterms:W3CDTF">2026-03-19T21:15:05Z</dcterms:created>
  <dcterms:modified xsi:type="dcterms:W3CDTF">2026-03-24T07:04:55Z</dcterms:modified>
</cp:coreProperties>
</file>