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nboyacioglu/Library/CloudStorage/GoogleDrive-mcboyacioglu@gmail.com/My Drive/00 - Personal/Financing/00 - Finance - Current status/2026/"/>
    </mc:Choice>
  </mc:AlternateContent>
  <xr:revisionPtr revIDLastSave="0" documentId="13_ncr:1_{0512548E-47E6-6B41-A9FA-6EB908BFBB58}" xr6:coauthVersionLast="47" xr6:coauthVersionMax="47" xr10:uidLastSave="{00000000-0000-0000-0000-000000000000}"/>
  <bookViews>
    <workbookView xWindow="0" yWindow="800" windowWidth="33800" windowHeight="18040" activeTab="2" xr2:uid="{928E2AC9-183F-A843-9735-552DFE48EFBB}"/>
  </bookViews>
  <sheets>
    <sheet name="Can-Selim Kira alacak verecek" sheetId="9" r:id="rId1"/>
    <sheet name="GOP-1 - RED NIRVANA" sheetId="2" r:id="rId2"/>
    <sheet name="GOP-2 - Murat Bayram" sheetId="1" r:id="rId3"/>
    <sheet name="GOP-3 - Emre Barut" sheetId="6" r:id="rId4"/>
    <sheet name="GOP-4 - Birevim" sheetId="7" r:id="rId5"/>
    <sheet name="Kontrat Bilgileri" sheetId="8" r:id="rId6"/>
  </sheets>
  <definedNames>
    <definedName name="_xlnm._FilterDatabase" localSheetId="0" hidden="1">'Can-Selim Kira alacak verecek'!$C$3:$I$3</definedName>
    <definedName name="_xlnm._FilterDatabase" localSheetId="2" hidden="1">'GOP-2 - Murat Bayram'!#REF!</definedName>
    <definedName name="_xlnm._FilterDatabase" localSheetId="3" hidden="1">'GOP-3 - Emre Barut'!#REF!</definedName>
    <definedName name="_xlnm._FilterDatabase" localSheetId="4" hidden="1">'GOP-4 - Birevim'!#REF!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1" i="7" l="1"/>
  <c r="E201" i="7"/>
  <c r="J302" i="9"/>
  <c r="E227" i="2"/>
  <c r="E226" i="2"/>
  <c r="J226" i="2" s="1"/>
  <c r="J301" i="9"/>
  <c r="J199" i="7"/>
  <c r="E199" i="7"/>
  <c r="J297" i="9"/>
  <c r="E224" i="2"/>
  <c r="E223" i="2"/>
  <c r="J292" i="9"/>
  <c r="L352" i="9"/>
  <c r="K352" i="9"/>
  <c r="L347" i="9"/>
  <c r="K347" i="9"/>
  <c r="L342" i="9"/>
  <c r="K342" i="9"/>
  <c r="L337" i="9"/>
  <c r="K337" i="9"/>
  <c r="L332" i="9"/>
  <c r="K332" i="9"/>
  <c r="L327" i="9"/>
  <c r="K327" i="9"/>
  <c r="L322" i="9"/>
  <c r="K322" i="9"/>
  <c r="L317" i="9"/>
  <c r="K317" i="9"/>
  <c r="L312" i="9"/>
  <c r="K312" i="9"/>
  <c r="L307" i="9"/>
  <c r="K307" i="9"/>
  <c r="L302" i="9"/>
  <c r="K302" i="9"/>
  <c r="L297" i="9"/>
  <c r="K297" i="9"/>
  <c r="K296" i="9"/>
  <c r="L355" i="9"/>
  <c r="K355" i="9"/>
  <c r="L354" i="9"/>
  <c r="K354" i="9"/>
  <c r="L353" i="9"/>
  <c r="K353" i="9"/>
  <c r="L351" i="9"/>
  <c r="K351" i="9"/>
  <c r="L350" i="9"/>
  <c r="K350" i="9"/>
  <c r="L349" i="9"/>
  <c r="K349" i="9"/>
  <c r="L348" i="9"/>
  <c r="K348" i="9"/>
  <c r="L346" i="9"/>
  <c r="K346" i="9"/>
  <c r="L345" i="9"/>
  <c r="K345" i="9"/>
  <c r="L344" i="9"/>
  <c r="K344" i="9"/>
  <c r="L343" i="9"/>
  <c r="K343" i="9"/>
  <c r="L341" i="9"/>
  <c r="K341" i="9"/>
  <c r="L340" i="9"/>
  <c r="K340" i="9"/>
  <c r="L339" i="9"/>
  <c r="K339" i="9"/>
  <c r="L338" i="9"/>
  <c r="K338" i="9"/>
  <c r="L336" i="9"/>
  <c r="K336" i="9"/>
  <c r="L335" i="9"/>
  <c r="K335" i="9"/>
  <c r="L334" i="9"/>
  <c r="K334" i="9"/>
  <c r="L333" i="9"/>
  <c r="K333" i="9"/>
  <c r="L331" i="9"/>
  <c r="K331" i="9"/>
  <c r="L330" i="9"/>
  <c r="K330" i="9"/>
  <c r="L329" i="9"/>
  <c r="K329" i="9"/>
  <c r="L328" i="9"/>
  <c r="K328" i="9"/>
  <c r="L326" i="9"/>
  <c r="K326" i="9"/>
  <c r="L325" i="9"/>
  <c r="K325" i="9"/>
  <c r="L324" i="9"/>
  <c r="K324" i="9"/>
  <c r="L323" i="9"/>
  <c r="K323" i="9"/>
  <c r="L321" i="9"/>
  <c r="K321" i="9"/>
  <c r="L320" i="9"/>
  <c r="K320" i="9"/>
  <c r="L319" i="9"/>
  <c r="K319" i="9"/>
  <c r="L318" i="9"/>
  <c r="K318" i="9"/>
  <c r="L316" i="9"/>
  <c r="K316" i="9"/>
  <c r="L315" i="9"/>
  <c r="K315" i="9"/>
  <c r="L314" i="9"/>
  <c r="K314" i="9"/>
  <c r="L313" i="9"/>
  <c r="K313" i="9"/>
  <c r="L311" i="9"/>
  <c r="K311" i="9"/>
  <c r="L310" i="9"/>
  <c r="K310" i="9"/>
  <c r="L309" i="9"/>
  <c r="K309" i="9"/>
  <c r="L308" i="9"/>
  <c r="K308" i="9"/>
  <c r="L306" i="9"/>
  <c r="K306" i="9"/>
  <c r="K305" i="9"/>
  <c r="K304" i="9"/>
  <c r="K303" i="9"/>
  <c r="K301" i="9"/>
  <c r="K298" i="9"/>
  <c r="K299" i="9"/>
  <c r="K300" i="9"/>
  <c r="K294" i="9"/>
  <c r="K293" i="9"/>
  <c r="L287" i="9"/>
  <c r="K288" i="9"/>
  <c r="L288" i="9"/>
  <c r="J287" i="9"/>
  <c r="K287" i="9" s="1"/>
  <c r="E197" i="7"/>
  <c r="L386" i="9"/>
  <c r="L391" i="9" s="1"/>
  <c r="L380" i="9"/>
  <c r="L382" i="9" s="1"/>
  <c r="L368" i="9"/>
  <c r="L370" i="9" s="1"/>
  <c r="L373" i="9" s="1"/>
  <c r="J195" i="7" l="1"/>
  <c r="E195" i="7"/>
  <c r="L305" i="9"/>
  <c r="L304" i="9"/>
  <c r="L303" i="9"/>
  <c r="L301" i="9"/>
  <c r="L300" i="9"/>
  <c r="L299" i="9"/>
  <c r="L298" i="9"/>
  <c r="L294" i="9"/>
  <c r="J284" i="9"/>
  <c r="E167" i="6"/>
  <c r="J289" i="9"/>
  <c r="J219" i="2"/>
  <c r="J220" i="2" s="1"/>
  <c r="J221" i="2" s="1"/>
  <c r="J222" i="2" s="1"/>
  <c r="J223" i="2" s="1"/>
  <c r="J224" i="2" s="1"/>
  <c r="J225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16" i="2"/>
  <c r="J217" i="2" s="1"/>
  <c r="J218" i="2" s="1"/>
  <c r="E218" i="2"/>
  <c r="E217" i="2"/>
  <c r="E176" i="1" l="1"/>
  <c r="J176" i="1" s="1"/>
  <c r="J285" i="9"/>
  <c r="E215" i="2"/>
  <c r="E214" i="2"/>
  <c r="E213" i="2"/>
  <c r="E190" i="7"/>
  <c r="E189" i="7"/>
  <c r="E193" i="7"/>
  <c r="E168" i="6"/>
  <c r="E171" i="6" s="1"/>
  <c r="E174" i="6" s="1"/>
  <c r="E177" i="6" s="1"/>
  <c r="E180" i="6" s="1"/>
  <c r="E183" i="6" s="1"/>
  <c r="E186" i="6" s="1"/>
  <c r="E189" i="6" s="1"/>
  <c r="E192" i="6" s="1"/>
  <c r="E195" i="6" s="1"/>
  <c r="E198" i="6" s="1"/>
  <c r="E210" i="2"/>
  <c r="E211" i="2"/>
  <c r="E207" i="2"/>
  <c r="E208" i="2"/>
  <c r="E204" i="2"/>
  <c r="E205" i="2"/>
  <c r="E201" i="2"/>
  <c r="E202" i="2"/>
  <c r="J170" i="1"/>
  <c r="J171" i="1" s="1"/>
  <c r="J172" i="1" s="1"/>
  <c r="J173" i="1" s="1"/>
  <c r="J174" i="1" s="1"/>
  <c r="J175" i="1" s="1"/>
  <c r="J281" i="9"/>
  <c r="C189" i="6"/>
  <c r="C192" i="6"/>
  <c r="C195" i="6"/>
  <c r="C198" i="6"/>
  <c r="C174" i="6"/>
  <c r="C177" i="6"/>
  <c r="C180" i="6"/>
  <c r="C183" i="6"/>
  <c r="C186" i="6"/>
  <c r="C171" i="6"/>
  <c r="G212" i="7"/>
  <c r="E191" i="7"/>
  <c r="J277" i="9"/>
  <c r="E187" i="7"/>
  <c r="E185" i="7"/>
  <c r="J273" i="9"/>
  <c r="L273" i="9"/>
  <c r="K273" i="9"/>
  <c r="J269" i="9"/>
  <c r="K269" i="9"/>
  <c r="L269" i="9"/>
  <c r="L256" i="9"/>
  <c r="L259" i="9"/>
  <c r="L254" i="9"/>
  <c r="L262" i="9"/>
  <c r="K263" i="9"/>
  <c r="L264" i="9"/>
  <c r="K265" i="9"/>
  <c r="K266" i="9"/>
  <c r="J210" i="9" l="1"/>
  <c r="J209" i="9"/>
  <c r="K237" i="9" l="1"/>
  <c r="L237" i="9"/>
  <c r="K238" i="9"/>
  <c r="L238" i="9"/>
  <c r="K239" i="9"/>
  <c r="L239" i="9"/>
  <c r="J240" i="9"/>
  <c r="L240" i="9" s="1"/>
  <c r="K240" i="9"/>
  <c r="K242" i="9"/>
  <c r="L242" i="9"/>
  <c r="K243" i="9"/>
  <c r="L243" i="9"/>
  <c r="K244" i="9"/>
  <c r="L244" i="9"/>
  <c r="J245" i="9"/>
  <c r="L245" i="9" s="1"/>
  <c r="K245" i="9"/>
  <c r="K246" i="9"/>
  <c r="L246" i="9"/>
  <c r="K247" i="9"/>
  <c r="L247" i="9"/>
  <c r="K248" i="9"/>
  <c r="L248" i="9"/>
  <c r="J249" i="9"/>
  <c r="L249" i="9" s="1"/>
  <c r="K249" i="9"/>
  <c r="K250" i="9"/>
  <c r="L250" i="9"/>
  <c r="K251" i="9"/>
  <c r="L251" i="9"/>
  <c r="K252" i="9"/>
  <c r="L252" i="9"/>
  <c r="J253" i="9"/>
  <c r="L253" i="9" s="1"/>
  <c r="K253" i="9"/>
  <c r="K254" i="9"/>
  <c r="K255" i="9"/>
  <c r="L255" i="9"/>
  <c r="K256" i="9"/>
  <c r="J258" i="9"/>
  <c r="L258" i="9" s="1"/>
  <c r="K258" i="9"/>
  <c r="K259" i="9"/>
  <c r="J231" i="9"/>
  <c r="K231" i="9" s="1"/>
  <c r="L231" i="9"/>
  <c r="J232" i="9"/>
  <c r="L232" i="9" s="1"/>
  <c r="K232" i="9"/>
  <c r="J224" i="9"/>
  <c r="E183" i="7"/>
  <c r="J183" i="7" s="1"/>
  <c r="J181" i="7"/>
  <c r="J182" i="7" s="1"/>
  <c r="E199" i="2"/>
  <c r="E198" i="2"/>
  <c r="E195" i="2"/>
  <c r="E196" i="2"/>
  <c r="J180" i="7"/>
  <c r="E181" i="7"/>
  <c r="E202" i="7"/>
  <c r="E200" i="7"/>
  <c r="E198" i="7"/>
  <c r="E196" i="7"/>
  <c r="E194" i="7"/>
  <c r="E192" i="7"/>
  <c r="E188" i="7"/>
  <c r="E186" i="7"/>
  <c r="E184" i="7"/>
  <c r="E182" i="7"/>
  <c r="E180" i="7"/>
  <c r="E289" i="9"/>
  <c r="E285" i="9"/>
  <c r="L293" i="9"/>
  <c r="L292" i="9"/>
  <c r="K292" i="9"/>
  <c r="L290" i="9"/>
  <c r="K290" i="9"/>
  <c r="L289" i="9"/>
  <c r="K289" i="9"/>
  <c r="L286" i="9"/>
  <c r="K286" i="9"/>
  <c r="L285" i="9"/>
  <c r="K285" i="9"/>
  <c r="L284" i="9"/>
  <c r="K284" i="9"/>
  <c r="L283" i="9"/>
  <c r="K283" i="9"/>
  <c r="L282" i="9"/>
  <c r="K282" i="9"/>
  <c r="K281" i="9"/>
  <c r="L281" i="9"/>
  <c r="E281" i="9"/>
  <c r="L280" i="9"/>
  <c r="K280" i="9"/>
  <c r="L279" i="9"/>
  <c r="K279" i="9"/>
  <c r="L278" i="9"/>
  <c r="K278" i="9"/>
  <c r="L277" i="9"/>
  <c r="K277" i="9"/>
  <c r="E277" i="9"/>
  <c r="L276" i="9"/>
  <c r="K276" i="9"/>
  <c r="L275" i="9"/>
  <c r="K275" i="9"/>
  <c r="L274" i="9"/>
  <c r="K274" i="9"/>
  <c r="E273" i="9"/>
  <c r="L272" i="9"/>
  <c r="K272" i="9"/>
  <c r="L271" i="9"/>
  <c r="K271" i="9"/>
  <c r="L270" i="9"/>
  <c r="K270" i="9"/>
  <c r="L268" i="9"/>
  <c r="K268" i="9"/>
  <c r="L267" i="9"/>
  <c r="K267" i="9"/>
  <c r="E258" i="9"/>
  <c r="E253" i="9"/>
  <c r="E237" i="9"/>
  <c r="E246" i="9"/>
  <c r="E249" i="9"/>
  <c r="E245" i="9"/>
  <c r="E240" i="9"/>
  <c r="J184" i="7" l="1"/>
  <c r="J185" i="7" s="1"/>
  <c r="J186" i="7" s="1"/>
  <c r="J187" i="7" s="1"/>
  <c r="J188" i="7" s="1"/>
  <c r="J189" i="7" s="1"/>
  <c r="J190" i="7" s="1"/>
  <c r="J191" i="7" s="1"/>
  <c r="J192" i="7" s="1"/>
  <c r="J193" i="7" s="1"/>
  <c r="J194" i="7" s="1"/>
  <c r="J196" i="7" s="1"/>
  <c r="J197" i="7" s="1"/>
  <c r="J198" i="7" s="1"/>
  <c r="J200" i="7" s="1"/>
  <c r="J202" i="7" s="1"/>
  <c r="J203" i="7" s="1"/>
  <c r="E192" i="2"/>
  <c r="E193" i="2" l="1"/>
  <c r="N187" i="9"/>
  <c r="N188" i="9" s="1"/>
  <c r="N189" i="9"/>
  <c r="N194" i="9"/>
  <c r="N199" i="9"/>
  <c r="N203" i="9"/>
  <c r="N207" i="9"/>
  <c r="N211" i="9"/>
  <c r="N213" i="9"/>
  <c r="N214" i="9" s="1"/>
  <c r="N215" i="9"/>
  <c r="N218" i="9"/>
  <c r="N220" i="9"/>
  <c r="N223" i="9"/>
  <c r="N224" i="9"/>
  <c r="N228" i="9"/>
  <c r="N229" i="9"/>
  <c r="N233" i="9"/>
  <c r="E137" i="6"/>
  <c r="E136" i="6"/>
  <c r="C165" i="6"/>
  <c r="C168" i="6"/>
  <c r="J179" i="7"/>
  <c r="E179" i="7"/>
  <c r="C200" i="1" l="1"/>
  <c r="C203" i="1"/>
  <c r="C206" i="1"/>
  <c r="C209" i="1"/>
  <c r="C212" i="1"/>
  <c r="C172" i="1"/>
  <c r="C174" i="1"/>
  <c r="C176" i="1"/>
  <c r="C179" i="1"/>
  <c r="C182" i="1"/>
  <c r="C185" i="1"/>
  <c r="C188" i="1"/>
  <c r="C191" i="1"/>
  <c r="C194" i="1"/>
  <c r="C197" i="1"/>
  <c r="C166" i="1"/>
  <c r="C168" i="1"/>
  <c r="C170" i="1"/>
  <c r="J177" i="7"/>
  <c r="J175" i="7"/>
  <c r="E177" i="7"/>
  <c r="E175" i="7"/>
  <c r="E186" i="2" l="1"/>
  <c r="E187" i="2"/>
  <c r="I240" i="9"/>
  <c r="H240" i="9"/>
  <c r="E190" i="2"/>
  <c r="E189" i="2"/>
  <c r="I245" i="9"/>
  <c r="H245" i="9"/>
  <c r="L360" i="9"/>
  <c r="K360" i="9"/>
  <c r="H107" i="1"/>
  <c r="I140" i="9" l="1"/>
  <c r="H140" i="9"/>
  <c r="I139" i="9"/>
  <c r="H139" i="9"/>
  <c r="I138" i="9"/>
  <c r="H138" i="9"/>
  <c r="I137" i="9"/>
  <c r="H137" i="9"/>
  <c r="I136" i="9"/>
  <c r="H136" i="9"/>
  <c r="I135" i="9"/>
  <c r="H135" i="9"/>
  <c r="I134" i="9"/>
  <c r="H134" i="9"/>
  <c r="I133" i="9"/>
  <c r="H133" i="9"/>
  <c r="I132" i="9"/>
  <c r="H132" i="9"/>
  <c r="I131" i="9"/>
  <c r="H131" i="9"/>
  <c r="I130" i="9"/>
  <c r="H130" i="9"/>
  <c r="I129" i="9"/>
  <c r="H129" i="9"/>
  <c r="I128" i="9"/>
  <c r="H128" i="9"/>
  <c r="I127" i="9"/>
  <c r="H127" i="9"/>
  <c r="I126" i="9"/>
  <c r="H126" i="9"/>
  <c r="I125" i="9"/>
  <c r="H125" i="9"/>
  <c r="I124" i="9"/>
  <c r="H124" i="9"/>
  <c r="I123" i="9"/>
  <c r="H123" i="9"/>
  <c r="I122" i="9"/>
  <c r="H122" i="9"/>
  <c r="I121" i="9"/>
  <c r="H121" i="9"/>
  <c r="I120" i="9"/>
  <c r="H120" i="9"/>
  <c r="I119" i="9"/>
  <c r="H119" i="9"/>
  <c r="I118" i="9"/>
  <c r="H118" i="9"/>
  <c r="I117" i="9"/>
  <c r="H117" i="9"/>
  <c r="I116" i="9"/>
  <c r="H116" i="9"/>
  <c r="I115" i="9"/>
  <c r="H115" i="9"/>
  <c r="I114" i="9"/>
  <c r="H114" i="9"/>
  <c r="I113" i="9"/>
  <c r="H113" i="9"/>
  <c r="I111" i="9"/>
  <c r="H111" i="9"/>
  <c r="I110" i="9"/>
  <c r="H110" i="9"/>
  <c r="I109" i="9"/>
  <c r="H109" i="9"/>
  <c r="I108" i="9"/>
  <c r="H108" i="9"/>
  <c r="I107" i="9"/>
  <c r="H107" i="9"/>
  <c r="I106" i="9"/>
  <c r="H106" i="9"/>
  <c r="I105" i="9"/>
  <c r="H105" i="9"/>
  <c r="I104" i="9"/>
  <c r="H104" i="9"/>
  <c r="I103" i="9"/>
  <c r="H103" i="9"/>
  <c r="I102" i="9"/>
  <c r="H102" i="9"/>
  <c r="I101" i="9"/>
  <c r="H101" i="9"/>
  <c r="I100" i="9"/>
  <c r="H100" i="9"/>
  <c r="I99" i="9"/>
  <c r="H99" i="9"/>
  <c r="I98" i="9"/>
  <c r="H98" i="9"/>
  <c r="I97" i="9"/>
  <c r="H97" i="9"/>
  <c r="I96" i="9"/>
  <c r="H96" i="9"/>
  <c r="I94" i="9"/>
  <c r="H94" i="9"/>
  <c r="I93" i="9"/>
  <c r="H93" i="9"/>
  <c r="I92" i="9"/>
  <c r="H92" i="9"/>
  <c r="I90" i="9"/>
  <c r="H90" i="9"/>
  <c r="I89" i="9"/>
  <c r="H89" i="9"/>
  <c r="I88" i="9"/>
  <c r="H88" i="9"/>
  <c r="I87" i="9"/>
  <c r="H87" i="9"/>
  <c r="I86" i="9"/>
  <c r="H86" i="9"/>
  <c r="I85" i="9"/>
  <c r="H85" i="9"/>
  <c r="I83" i="9"/>
  <c r="H83" i="9"/>
  <c r="I82" i="9"/>
  <c r="H82" i="9"/>
  <c r="I81" i="9"/>
  <c r="H81" i="9"/>
  <c r="I80" i="9"/>
  <c r="H80" i="9"/>
  <c r="I79" i="9"/>
  <c r="H79" i="9"/>
  <c r="I78" i="9"/>
  <c r="H78" i="9"/>
  <c r="I77" i="9"/>
  <c r="H77" i="9"/>
  <c r="I76" i="9"/>
  <c r="H76" i="9"/>
  <c r="I75" i="9"/>
  <c r="H75" i="9"/>
  <c r="I74" i="9"/>
  <c r="H74" i="9"/>
  <c r="I73" i="9"/>
  <c r="H73" i="9"/>
  <c r="I72" i="9"/>
  <c r="H72" i="9"/>
  <c r="I71" i="9"/>
  <c r="H71" i="9"/>
  <c r="I69" i="9"/>
  <c r="H69" i="9"/>
  <c r="I68" i="9"/>
  <c r="H68" i="9"/>
  <c r="I67" i="9"/>
  <c r="H67" i="9"/>
  <c r="I66" i="9"/>
  <c r="H66" i="9"/>
  <c r="I65" i="9"/>
  <c r="H65" i="9"/>
  <c r="I64" i="9"/>
  <c r="H64" i="9"/>
  <c r="I63" i="9"/>
  <c r="H63" i="9"/>
  <c r="I62" i="9"/>
  <c r="H62" i="9"/>
  <c r="I61" i="9"/>
  <c r="H61" i="9"/>
  <c r="I60" i="9"/>
  <c r="H60" i="9"/>
  <c r="I59" i="9"/>
  <c r="H59" i="9"/>
  <c r="I58" i="9"/>
  <c r="H58" i="9"/>
  <c r="I57" i="9"/>
  <c r="H57" i="9"/>
  <c r="I56" i="9"/>
  <c r="H56" i="9"/>
  <c r="I55" i="9"/>
  <c r="H55" i="9"/>
  <c r="I54" i="9"/>
  <c r="H54" i="9"/>
  <c r="I53" i="9"/>
  <c r="H53" i="9"/>
  <c r="I52" i="9"/>
  <c r="H52" i="9"/>
  <c r="I51" i="9"/>
  <c r="H51" i="9"/>
  <c r="I50" i="9"/>
  <c r="H50" i="9"/>
  <c r="I49" i="9"/>
  <c r="H49" i="9"/>
  <c r="I47" i="9"/>
  <c r="H47" i="9"/>
  <c r="I46" i="9"/>
  <c r="H46" i="9"/>
  <c r="I45" i="9"/>
  <c r="H45" i="9"/>
  <c r="I44" i="9"/>
  <c r="H44" i="9"/>
  <c r="I43" i="9"/>
  <c r="H43" i="9"/>
  <c r="I42" i="9"/>
  <c r="H42" i="9"/>
  <c r="I41" i="9"/>
  <c r="H41" i="9"/>
  <c r="I40" i="9"/>
  <c r="H40" i="9"/>
  <c r="I39" i="9"/>
  <c r="H39" i="9"/>
  <c r="I38" i="9"/>
  <c r="H38" i="9"/>
  <c r="I37" i="9"/>
  <c r="H37" i="9"/>
  <c r="I36" i="9"/>
  <c r="H36" i="9"/>
  <c r="I35" i="9"/>
  <c r="H35" i="9"/>
  <c r="I34" i="9"/>
  <c r="H34" i="9"/>
  <c r="I33" i="9"/>
  <c r="H33" i="9"/>
  <c r="I32" i="9"/>
  <c r="H32" i="9"/>
  <c r="I31" i="9"/>
  <c r="H31" i="9"/>
  <c r="I30" i="9"/>
  <c r="H30" i="9"/>
  <c r="I29" i="9"/>
  <c r="H29" i="9"/>
  <c r="I28" i="9"/>
  <c r="H28" i="9"/>
  <c r="I27" i="9"/>
  <c r="H27" i="9"/>
  <c r="I26" i="9"/>
  <c r="H26" i="9"/>
  <c r="I25" i="9"/>
  <c r="H25" i="9"/>
  <c r="I24" i="9"/>
  <c r="H24" i="9"/>
  <c r="I23" i="9"/>
  <c r="H23" i="9"/>
  <c r="I22" i="9"/>
  <c r="H22" i="9"/>
  <c r="H21" i="9"/>
  <c r="I20" i="9"/>
  <c r="H20" i="9"/>
  <c r="I19" i="9"/>
  <c r="H19" i="9"/>
  <c r="I18" i="9"/>
  <c r="H18" i="9"/>
  <c r="I17" i="9"/>
  <c r="H17" i="9"/>
  <c r="I15" i="9"/>
  <c r="H15" i="9"/>
  <c r="I14" i="9"/>
  <c r="H14" i="9"/>
  <c r="I13" i="9"/>
  <c r="H13" i="9"/>
  <c r="I12" i="9"/>
  <c r="H12" i="9"/>
  <c r="I11" i="9"/>
  <c r="H11" i="9"/>
  <c r="I10" i="9"/>
  <c r="H10" i="9"/>
  <c r="I9" i="9"/>
  <c r="H9" i="9"/>
  <c r="I8" i="9"/>
  <c r="H8" i="9"/>
  <c r="I7" i="9"/>
  <c r="H7" i="9"/>
  <c r="I6" i="9"/>
  <c r="H6" i="9"/>
  <c r="I5" i="9"/>
  <c r="H5" i="9"/>
  <c r="I4" i="9"/>
  <c r="H4" i="9"/>
  <c r="J166" i="9" l="1"/>
  <c r="L166" i="9" s="1"/>
  <c r="H142" i="9"/>
  <c r="I142" i="9"/>
  <c r="H143" i="9"/>
  <c r="I143" i="9"/>
  <c r="H144" i="9"/>
  <c r="I144" i="9"/>
  <c r="H145" i="9"/>
  <c r="I145" i="9"/>
  <c r="H146" i="9"/>
  <c r="I146" i="9"/>
  <c r="H147" i="9"/>
  <c r="I147" i="9"/>
  <c r="H148" i="9"/>
  <c r="I148" i="9"/>
  <c r="H149" i="9"/>
  <c r="I149" i="9"/>
  <c r="H150" i="9"/>
  <c r="I150" i="9"/>
  <c r="H151" i="9"/>
  <c r="I151" i="9"/>
  <c r="H152" i="9"/>
  <c r="I152" i="9"/>
  <c r="H153" i="9"/>
  <c r="I153" i="9"/>
  <c r="H154" i="9"/>
  <c r="I154" i="9"/>
  <c r="K154" i="9"/>
  <c r="L154" i="9"/>
  <c r="H156" i="9"/>
  <c r="I156" i="9"/>
  <c r="K156" i="9"/>
  <c r="L156" i="9"/>
  <c r="H157" i="9"/>
  <c r="I157" i="9"/>
  <c r="K157" i="9"/>
  <c r="L157" i="9"/>
  <c r="H158" i="9"/>
  <c r="I158" i="9"/>
  <c r="K158" i="9"/>
  <c r="L158" i="9"/>
  <c r="L159" i="9"/>
  <c r="H161" i="9"/>
  <c r="I161" i="9"/>
  <c r="K161" i="9"/>
  <c r="L161" i="9"/>
  <c r="H162" i="9"/>
  <c r="I162" i="9"/>
  <c r="K162" i="9"/>
  <c r="L162" i="9"/>
  <c r="H164" i="9"/>
  <c r="I164" i="9"/>
  <c r="K164" i="9"/>
  <c r="L164" i="9"/>
  <c r="H166" i="9"/>
  <c r="I166" i="9"/>
  <c r="K166" i="9"/>
  <c r="H167" i="9"/>
  <c r="I167" i="9"/>
  <c r="K167" i="9"/>
  <c r="L167" i="9"/>
  <c r="H168" i="9"/>
  <c r="I168" i="9"/>
  <c r="K168" i="9"/>
  <c r="L168" i="9"/>
  <c r="K169" i="9"/>
  <c r="L169" i="9"/>
  <c r="K155" i="9" l="1"/>
  <c r="J173" i="7"/>
  <c r="J171" i="7"/>
  <c r="E173" i="7"/>
  <c r="E171" i="7"/>
  <c r="E170" i="7"/>
  <c r="E172" i="7" s="1"/>
  <c r="E174" i="7" s="1"/>
  <c r="E176" i="7" s="1"/>
  <c r="E178" i="7" s="1"/>
  <c r="E183" i="2"/>
  <c r="E184" i="2"/>
  <c r="E180" i="2"/>
  <c r="E181" i="2"/>
  <c r="E177" i="2"/>
  <c r="E178" i="2"/>
  <c r="E174" i="2"/>
  <c r="E175" i="2"/>
  <c r="E171" i="2"/>
  <c r="E172" i="2"/>
  <c r="J233" i="9"/>
  <c r="L233" i="9" s="1"/>
  <c r="K233" i="9"/>
  <c r="I233" i="9"/>
  <c r="H233" i="9"/>
  <c r="L224" i="9"/>
  <c r="J229" i="9"/>
  <c r="L229" i="9" s="1"/>
  <c r="K229" i="9"/>
  <c r="I229" i="9"/>
  <c r="H229" i="9"/>
  <c r="H224" i="9"/>
  <c r="I224" i="9"/>
  <c r="K224" i="9"/>
  <c r="L225" i="9"/>
  <c r="E169" i="7"/>
  <c r="J169" i="7" s="1"/>
  <c r="C173" i="2"/>
  <c r="L228" i="9"/>
  <c r="K228" i="9"/>
  <c r="L227" i="9"/>
  <c r="K227" i="9"/>
  <c r="L226" i="9"/>
  <c r="K226" i="9"/>
  <c r="E167" i="7"/>
  <c r="J167" i="7" s="1"/>
  <c r="L223" i="9" l="1"/>
  <c r="K223" i="9"/>
  <c r="L221" i="9"/>
  <c r="L222" i="9"/>
  <c r="K222" i="9"/>
  <c r="J220" i="9"/>
  <c r="L220" i="9" s="1"/>
  <c r="K221" i="9"/>
  <c r="K220" i="9"/>
  <c r="I220" i="9"/>
  <c r="H220" i="9"/>
  <c r="C162" i="6"/>
  <c r="C159" i="6"/>
  <c r="C156" i="6"/>
  <c r="C153" i="6"/>
  <c r="C150" i="6"/>
  <c r="C147" i="6"/>
  <c r="C144" i="6"/>
  <c r="C141" i="6"/>
  <c r="C138" i="6"/>
  <c r="C135" i="6"/>
  <c r="C131" i="6"/>
  <c r="C127" i="6"/>
  <c r="E165" i="7"/>
  <c r="J165" i="7" s="1"/>
  <c r="J215" i="9"/>
  <c r="C149" i="1"/>
  <c r="C151" i="1"/>
  <c r="C153" i="1"/>
  <c r="C155" i="1"/>
  <c r="C158" i="1"/>
  <c r="C161" i="1"/>
  <c r="C164" i="1"/>
  <c r="L208" i="9" l="1"/>
  <c r="K208" i="9"/>
  <c r="J211" i="9"/>
  <c r="L211" i="9" s="1"/>
  <c r="L219" i="9"/>
  <c r="K219" i="9"/>
  <c r="L218" i="9"/>
  <c r="K218" i="9"/>
  <c r="L216" i="9"/>
  <c r="K216" i="9"/>
  <c r="L215" i="9"/>
  <c r="K215" i="9"/>
  <c r="L214" i="9"/>
  <c r="K214" i="9"/>
  <c r="L213" i="9"/>
  <c r="K213" i="9"/>
  <c r="L212" i="9"/>
  <c r="K212" i="9"/>
  <c r="K211" i="9"/>
  <c r="I211" i="9"/>
  <c r="H211" i="9"/>
  <c r="E120" i="6"/>
  <c r="E119" i="6"/>
  <c r="E169" i="2" l="1"/>
  <c r="E168" i="2"/>
  <c r="E163" i="7"/>
  <c r="J163" i="7" s="1"/>
  <c r="J157" i="7"/>
  <c r="J158" i="7" s="1"/>
  <c r="J159" i="7" s="1"/>
  <c r="J160" i="7" s="1"/>
  <c r="J161" i="7" s="1"/>
  <c r="J162" i="7" s="1"/>
  <c r="E161" i="7"/>
  <c r="E159" i="7"/>
  <c r="E157" i="7"/>
  <c r="E156" i="7"/>
  <c r="J207" i="9"/>
  <c r="L207" i="9" s="1"/>
  <c r="K207" i="9"/>
  <c r="E166" i="2"/>
  <c r="E165" i="2"/>
  <c r="K205" i="9"/>
  <c r="L205" i="9"/>
  <c r="K206" i="9"/>
  <c r="L206" i="9"/>
  <c r="K209" i="9"/>
  <c r="L209" i="9"/>
  <c r="K210" i="9"/>
  <c r="L210" i="9"/>
  <c r="E110" i="6"/>
  <c r="L196" i="9"/>
  <c r="K196" i="9"/>
  <c r="L200" i="9"/>
  <c r="K200" i="9"/>
  <c r="J201" i="9"/>
  <c r="N201" i="9" s="1"/>
  <c r="N202" i="9" s="1"/>
  <c r="L202" i="9"/>
  <c r="K202" i="9"/>
  <c r="L201" i="9"/>
  <c r="J203" i="9"/>
  <c r="L203" i="9" s="1"/>
  <c r="K203" i="9"/>
  <c r="E163" i="2"/>
  <c r="E162" i="2"/>
  <c r="L204" i="9"/>
  <c r="K204" i="9"/>
  <c r="E113" i="6"/>
  <c r="L198" i="9"/>
  <c r="K198" i="9"/>
  <c r="L197" i="9"/>
  <c r="J197" i="9"/>
  <c r="N197" i="9" s="1"/>
  <c r="N198" i="9" s="1"/>
  <c r="J164" i="7" l="1"/>
  <c r="J166" i="7" s="1"/>
  <c r="J168" i="7" s="1"/>
  <c r="J170" i="7" s="1"/>
  <c r="J172" i="7" s="1"/>
  <c r="J174" i="7" s="1"/>
  <c r="J176" i="7" s="1"/>
  <c r="J178" i="7" s="1"/>
  <c r="K201" i="9"/>
  <c r="K197" i="9"/>
  <c r="K199" i="9"/>
  <c r="I199" i="9"/>
  <c r="H199" i="9"/>
  <c r="E160" i="2"/>
  <c r="E159" i="2"/>
  <c r="E158" i="7"/>
  <c r="E160" i="7" s="1"/>
  <c r="E162" i="7" s="1"/>
  <c r="E164" i="7" s="1"/>
  <c r="E166" i="7" s="1"/>
  <c r="E168" i="7" s="1"/>
  <c r="C160" i="7"/>
  <c r="C162" i="7"/>
  <c r="C164" i="7"/>
  <c r="C166" i="7"/>
  <c r="C168" i="7"/>
  <c r="C170" i="7"/>
  <c r="C172" i="7"/>
  <c r="C174" i="7"/>
  <c r="C176" i="7"/>
  <c r="C178" i="7"/>
  <c r="C180" i="7"/>
  <c r="C182" i="7"/>
  <c r="C184" i="7"/>
  <c r="C186" i="7"/>
  <c r="C188" i="7"/>
  <c r="C190" i="7"/>
  <c r="C192" i="7"/>
  <c r="C194" i="7"/>
  <c r="C196" i="7"/>
  <c r="C198" i="7"/>
  <c r="C200" i="7"/>
  <c r="C202" i="7"/>
  <c r="C158" i="7"/>
  <c r="C156" i="7"/>
  <c r="E155" i="7"/>
  <c r="J192" i="9"/>
  <c r="N192" i="9" s="1"/>
  <c r="N193" i="9" s="1"/>
  <c r="L193" i="9"/>
  <c r="K193" i="9"/>
  <c r="I193" i="9"/>
  <c r="H193" i="9"/>
  <c r="L192" i="9"/>
  <c r="I192" i="9"/>
  <c r="H192" i="9"/>
  <c r="E157" i="2"/>
  <c r="E156" i="2"/>
  <c r="J194" i="9"/>
  <c r="L194" i="9" s="1"/>
  <c r="K194" i="9"/>
  <c r="I194" i="9"/>
  <c r="H194" i="9"/>
  <c r="L191" i="9"/>
  <c r="K191" i="9"/>
  <c r="I191" i="9"/>
  <c r="H191" i="9"/>
  <c r="J189" i="9"/>
  <c r="L189" i="9" s="1"/>
  <c r="M153" i="2"/>
  <c r="E153" i="2"/>
  <c r="E154" i="2"/>
  <c r="K189" i="9"/>
  <c r="I189" i="9"/>
  <c r="H189" i="9"/>
  <c r="E153" i="7"/>
  <c r="L190" i="9"/>
  <c r="K192" i="9" l="1"/>
  <c r="L188" i="9"/>
  <c r="K188" i="9"/>
  <c r="I188" i="9"/>
  <c r="H188" i="9"/>
  <c r="L187" i="9"/>
  <c r="K187" i="9"/>
  <c r="I187" i="9"/>
  <c r="H187" i="9"/>
  <c r="L184" i="9"/>
  <c r="K184" i="9"/>
  <c r="I184" i="9"/>
  <c r="H184" i="9"/>
  <c r="L183" i="9"/>
  <c r="K183" i="9"/>
  <c r="I183" i="9"/>
  <c r="H183" i="9"/>
  <c r="L186" i="9"/>
  <c r="E151" i="7"/>
  <c r="N151" i="2"/>
  <c r="L150" i="2"/>
  <c r="M139" i="2" l="1"/>
  <c r="P135" i="2"/>
  <c r="Q135" i="2"/>
  <c r="P136" i="2"/>
  <c r="Q136" i="2"/>
  <c r="P137" i="2"/>
  <c r="Q137" i="2"/>
  <c r="P138" i="2"/>
  <c r="Q138" i="2"/>
  <c r="Q134" i="2"/>
  <c r="P134" i="2"/>
  <c r="N134" i="2"/>
  <c r="N135" i="2"/>
  <c r="N136" i="2"/>
  <c r="N137" i="2"/>
  <c r="N138" i="2"/>
  <c r="L182" i="9"/>
  <c r="K182" i="9"/>
  <c r="I182" i="9"/>
  <c r="H182" i="9"/>
  <c r="L185" i="9"/>
  <c r="N139" i="2" l="1"/>
  <c r="P139" i="2"/>
  <c r="Q139" i="2"/>
  <c r="L181" i="9"/>
  <c r="L180" i="9"/>
  <c r="K180" i="9"/>
  <c r="L179" i="9" l="1"/>
  <c r="K179" i="9"/>
  <c r="L178" i="9"/>
  <c r="K178" i="9"/>
  <c r="I179" i="9"/>
  <c r="H179" i="9"/>
  <c r="I178" i="9"/>
  <c r="H178" i="9"/>
  <c r="J176" i="9"/>
  <c r="K176" i="9" s="1"/>
  <c r="L177" i="9"/>
  <c r="K177" i="9"/>
  <c r="I177" i="9"/>
  <c r="H177" i="9"/>
  <c r="L176" i="9"/>
  <c r="I176" i="9"/>
  <c r="H176" i="9"/>
  <c r="L175" i="9" l="1"/>
  <c r="X141" i="2"/>
  <c r="X142" i="2"/>
  <c r="X143" i="2"/>
  <c r="X144" i="2"/>
  <c r="X145" i="2"/>
  <c r="X146" i="2"/>
  <c r="X147" i="2"/>
  <c r="X140" i="2"/>
  <c r="X138" i="2"/>
  <c r="X137" i="2"/>
  <c r="X136" i="2"/>
  <c r="X135" i="2"/>
  <c r="X134" i="2"/>
  <c r="K174" i="9"/>
  <c r="L174" i="9"/>
  <c r="E149" i="7"/>
  <c r="H172" i="9"/>
  <c r="H361" i="9" s="1"/>
  <c r="I172" i="9"/>
  <c r="I361" i="9" s="1"/>
  <c r="K172" i="9"/>
  <c r="L172" i="9"/>
  <c r="K173" i="9"/>
  <c r="L173" i="9"/>
  <c r="K361" i="9" l="1"/>
  <c r="E147" i="7"/>
  <c r="E142" i="2" l="1"/>
  <c r="C170" i="2"/>
  <c r="C167" i="2"/>
  <c r="C164" i="2"/>
  <c r="C161" i="2"/>
  <c r="C158" i="2"/>
  <c r="C155" i="2"/>
  <c r="C152" i="2"/>
  <c r="C149" i="2"/>
  <c r="C146" i="2"/>
  <c r="C143" i="2"/>
  <c r="C140" i="2"/>
  <c r="C137" i="2"/>
  <c r="J5" i="6"/>
  <c r="C147" i="1"/>
  <c r="C146" i="1"/>
  <c r="C145" i="1"/>
  <c r="C144" i="1"/>
  <c r="C142" i="1"/>
  <c r="C141" i="1"/>
  <c r="C139" i="1"/>
  <c r="C138" i="1"/>
  <c r="C135" i="1"/>
  <c r="C134" i="1"/>
  <c r="C133" i="1"/>
  <c r="C132" i="1"/>
  <c r="C129" i="1"/>
  <c r="C126" i="1"/>
  <c r="C123" i="1"/>
  <c r="C120" i="1"/>
  <c r="C117" i="1"/>
  <c r="C114" i="1"/>
  <c r="C111" i="1"/>
  <c r="C108" i="1"/>
  <c r="C105" i="1"/>
  <c r="E39" i="8"/>
  <c r="D39" i="8"/>
  <c r="C39" i="8"/>
  <c r="E94" i="6"/>
  <c r="E97" i="6" s="1"/>
  <c r="E100" i="6" s="1"/>
  <c r="E103" i="6" s="1"/>
  <c r="E106" i="6" s="1"/>
  <c r="E109" i="6" s="1"/>
  <c r="E112" i="6" s="1"/>
  <c r="E115" i="6" s="1"/>
  <c r="E118" i="6" s="1"/>
  <c r="E121" i="6" s="1"/>
  <c r="E124" i="6" s="1"/>
  <c r="C124" i="6"/>
  <c r="C121" i="6"/>
  <c r="C118" i="6"/>
  <c r="C115" i="6"/>
  <c r="C112" i="6"/>
  <c r="C109" i="6"/>
  <c r="C106" i="6"/>
  <c r="C103" i="6"/>
  <c r="C100" i="6"/>
  <c r="C97" i="6"/>
  <c r="C94" i="6"/>
  <c r="C91" i="6"/>
  <c r="D31" i="8"/>
  <c r="F31" i="8" s="1"/>
  <c r="E31" i="8" s="1"/>
  <c r="F30" i="8"/>
  <c r="E30" i="8" s="1"/>
  <c r="D26" i="8"/>
  <c r="D27" i="8" s="1"/>
  <c r="F27" i="8" s="1"/>
  <c r="E27" i="8" s="1"/>
  <c r="F25" i="8"/>
  <c r="E25" i="8" s="1"/>
  <c r="F20" i="8"/>
  <c r="E20" i="8" s="1"/>
  <c r="D21" i="8"/>
  <c r="D22" i="8" s="1"/>
  <c r="F22" i="8" s="1"/>
  <c r="E22" i="8" s="1"/>
  <c r="E135" i="2"/>
  <c r="E132" i="2"/>
  <c r="E129" i="2"/>
  <c r="E126" i="2"/>
  <c r="C154" i="7"/>
  <c r="C152" i="7"/>
  <c r="C150" i="7"/>
  <c r="C148" i="7"/>
  <c r="C146" i="7"/>
  <c r="C144" i="7"/>
  <c r="C142" i="7"/>
  <c r="C140" i="7"/>
  <c r="C138" i="7"/>
  <c r="C136" i="7"/>
  <c r="C134" i="7"/>
  <c r="E134" i="7"/>
  <c r="C132" i="7"/>
  <c r="E136" i="7" l="1"/>
  <c r="E138" i="7" s="1"/>
  <c r="E140" i="7" s="1"/>
  <c r="E142" i="7" s="1"/>
  <c r="E144" i="7" s="1"/>
  <c r="E146" i="7" s="1"/>
  <c r="E148" i="7" s="1"/>
  <c r="E150" i="7" s="1"/>
  <c r="E152" i="7" s="1"/>
  <c r="E154" i="7" s="1"/>
  <c r="F21" i="8"/>
  <c r="E21" i="8" s="1"/>
  <c r="D32" i="8"/>
  <c r="F32" i="8" s="1"/>
  <c r="E32" i="8" s="1"/>
  <c r="F26" i="8"/>
  <c r="E26" i="8" s="1"/>
  <c r="E123" i="2"/>
  <c r="E131" i="7"/>
  <c r="E120" i="2"/>
  <c r="E129" i="7"/>
  <c r="E117" i="2"/>
  <c r="B20" i="6"/>
  <c r="E114" i="2"/>
  <c r="E127" i="7"/>
  <c r="E125" i="7" l="1"/>
  <c r="E123" i="7"/>
  <c r="E121" i="7"/>
  <c r="E112" i="2"/>
  <c r="E108" i="2" l="1"/>
  <c r="C134" i="2"/>
  <c r="C131" i="2"/>
  <c r="C128" i="2"/>
  <c r="C125" i="2"/>
  <c r="C122" i="2"/>
  <c r="C119" i="2"/>
  <c r="C116" i="2"/>
  <c r="C113" i="2"/>
  <c r="C110" i="2"/>
  <c r="C107" i="2"/>
  <c r="C104" i="2"/>
  <c r="C101" i="2"/>
  <c r="E119" i="7"/>
  <c r="C58" i="6"/>
  <c r="C61" i="6"/>
  <c r="C64" i="6"/>
  <c r="C67" i="6"/>
  <c r="C70" i="6"/>
  <c r="C73" i="6"/>
  <c r="C76" i="6"/>
  <c r="C79" i="6"/>
  <c r="C82" i="6"/>
  <c r="C85" i="6"/>
  <c r="C88" i="6"/>
  <c r="C55" i="6"/>
  <c r="E117" i="7"/>
  <c r="J98" i="2"/>
  <c r="J99" i="2" s="1"/>
  <c r="J100" i="2" s="1"/>
  <c r="J101" i="2" s="1"/>
  <c r="J102" i="2" s="1"/>
  <c r="J103" i="2" s="1"/>
  <c r="J104" i="2" s="1"/>
  <c r="J105" i="2" s="1"/>
  <c r="J106" i="2" s="1"/>
  <c r="J107" i="2" s="1"/>
  <c r="J108" i="2" l="1"/>
  <c r="J109" i="2" s="1"/>
  <c r="J110" i="2" s="1"/>
  <c r="J111" i="2" s="1"/>
  <c r="J112" i="2" s="1"/>
  <c r="J113" i="2" s="1"/>
  <c r="E111" i="7"/>
  <c r="E110" i="7"/>
  <c r="J114" i="2" l="1"/>
  <c r="J115" i="2" s="1"/>
  <c r="J116" i="2" s="1"/>
  <c r="J117" i="2" s="1"/>
  <c r="J118" i="2" s="1"/>
  <c r="J119" i="2" s="1"/>
  <c r="E113" i="7"/>
  <c r="E115" i="7"/>
  <c r="C130" i="7"/>
  <c r="C128" i="7"/>
  <c r="C126" i="7"/>
  <c r="E108" i="7"/>
  <c r="E106" i="7"/>
  <c r="E104" i="7"/>
  <c r="E102" i="7"/>
  <c r="C107" i="7"/>
  <c r="J120" i="2" l="1"/>
  <c r="J121" i="2" s="1"/>
  <c r="J122" i="2" s="1"/>
  <c r="J123" i="2" l="1"/>
  <c r="J124" i="2" s="1"/>
  <c r="J125" i="2" s="1"/>
  <c r="E100" i="7"/>
  <c r="C100" i="1"/>
  <c r="C102" i="1"/>
  <c r="C79" i="1"/>
  <c r="C82" i="1"/>
  <c r="C85" i="1"/>
  <c r="C88" i="1"/>
  <c r="C91" i="1"/>
  <c r="C94" i="1"/>
  <c r="C97" i="1"/>
  <c r="C75" i="1"/>
  <c r="C72" i="1"/>
  <c r="C69" i="1"/>
  <c r="C124" i="7"/>
  <c r="C122" i="7"/>
  <c r="C120" i="7"/>
  <c r="C118" i="7"/>
  <c r="C116" i="7"/>
  <c r="C114" i="7"/>
  <c r="C112" i="7"/>
  <c r="C109" i="7"/>
  <c r="C105" i="7"/>
  <c r="C103" i="7"/>
  <c r="C101" i="7"/>
  <c r="C71" i="7"/>
  <c r="C74" i="7"/>
  <c r="C76" i="7"/>
  <c r="C78" i="7"/>
  <c r="C80" i="7"/>
  <c r="C82" i="7"/>
  <c r="C84" i="7"/>
  <c r="C86" i="7"/>
  <c r="C88" i="7"/>
  <c r="C91" i="7"/>
  <c r="C93" i="7"/>
  <c r="C95" i="7"/>
  <c r="C97" i="7"/>
  <c r="C99" i="7"/>
  <c r="E98" i="7"/>
  <c r="E96" i="7"/>
  <c r="C49" i="6"/>
  <c r="C52" i="6"/>
  <c r="C34" i="6"/>
  <c r="C37" i="6"/>
  <c r="C40" i="6"/>
  <c r="C43" i="6"/>
  <c r="C46" i="6"/>
  <c r="C31" i="6"/>
  <c r="C28" i="6"/>
  <c r="C25" i="6"/>
  <c r="C24" i="6"/>
  <c r="C23" i="6"/>
  <c r="J21" i="6"/>
  <c r="J22" i="6" s="1"/>
  <c r="J23" i="6" s="1"/>
  <c r="J24" i="6" s="1"/>
  <c r="J25" i="6" s="1"/>
  <c r="J26" i="6" s="1"/>
  <c r="B21" i="6"/>
  <c r="B22" i="6" s="1"/>
  <c r="B23" i="6" s="1"/>
  <c r="J19" i="6"/>
  <c r="E92" i="7"/>
  <c r="E94" i="7"/>
  <c r="J27" i="6" l="1"/>
  <c r="J28" i="6" s="1"/>
  <c r="J29" i="6" s="1"/>
  <c r="J30" i="6" s="1"/>
  <c r="J31" i="6" s="1"/>
  <c r="J32" i="6" s="1"/>
  <c r="J33" i="6" s="1"/>
  <c r="J34" i="6" s="1"/>
  <c r="J35" i="6" s="1"/>
  <c r="J36" i="6" s="1"/>
  <c r="J37" i="6" s="1"/>
  <c r="J38" i="6" s="1"/>
  <c r="J39" i="6" s="1"/>
  <c r="J40" i="6" s="1"/>
  <c r="J41" i="6" s="1"/>
  <c r="J126" i="2"/>
  <c r="J127" i="2" s="1"/>
  <c r="J128" i="2" s="1"/>
  <c r="C96" i="2"/>
  <c r="C95" i="2"/>
  <c r="C94" i="2"/>
  <c r="C93" i="2"/>
  <c r="C92" i="2"/>
  <c r="C91" i="2"/>
  <c r="C90" i="2"/>
  <c r="C89" i="2"/>
  <c r="C88" i="2"/>
  <c r="C87" i="2"/>
  <c r="C83" i="2"/>
  <c r="E78" i="2"/>
  <c r="E79" i="2"/>
  <c r="C86" i="2"/>
  <c r="C80" i="2"/>
  <c r="J76" i="2"/>
  <c r="J77" i="2" s="1"/>
  <c r="E69" i="2"/>
  <c r="J78" i="2" l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129" i="2"/>
  <c r="J130" i="2" s="1"/>
  <c r="J131" i="2" s="1"/>
  <c r="H362" i="9"/>
  <c r="J42" i="6"/>
  <c r="J43" i="6" s="1"/>
  <c r="J44" i="6" s="1"/>
  <c r="J45" i="6" s="1"/>
  <c r="J46" i="6" s="1"/>
  <c r="J47" i="6" s="1"/>
  <c r="J48" i="6" s="1"/>
  <c r="J49" i="6" s="1"/>
  <c r="J50" i="6" s="1"/>
  <c r="J51" i="6" s="1"/>
  <c r="J52" i="6" s="1"/>
  <c r="J53" i="6" s="1"/>
  <c r="J54" i="6" s="1"/>
  <c r="J55" i="6" s="1"/>
  <c r="J56" i="6" s="1"/>
  <c r="J57" i="6" s="1"/>
  <c r="J58" i="6" s="1"/>
  <c r="J59" i="6" s="1"/>
  <c r="I362" i="9"/>
  <c r="J132" i="2" l="1"/>
  <c r="J133" i="2" s="1"/>
  <c r="J134" i="2" s="1"/>
  <c r="J135" i="2" s="1"/>
  <c r="J136" i="2" s="1"/>
  <c r="J60" i="6"/>
  <c r="J61" i="6" s="1"/>
  <c r="J62" i="6" s="1"/>
  <c r="J63" i="6" s="1"/>
  <c r="J64" i="6" s="1"/>
  <c r="J65" i="6" s="1"/>
  <c r="J66" i="6" s="1"/>
  <c r="J67" i="6" s="1"/>
  <c r="C15" i="6"/>
  <c r="C18" i="6"/>
  <c r="C12" i="6"/>
  <c r="B6" i="6"/>
  <c r="B7" i="6" s="1"/>
  <c r="B8" i="6" s="1"/>
  <c r="B9" i="6" s="1"/>
  <c r="B10" i="6" s="1"/>
  <c r="B11" i="6" s="1"/>
  <c r="B12" i="6" s="1"/>
  <c r="B13" i="6" s="1"/>
  <c r="B14" i="6" s="1"/>
  <c r="B16" i="6" s="1"/>
  <c r="B17" i="6" s="1"/>
  <c r="B18" i="6" s="1"/>
  <c r="E7" i="6"/>
  <c r="J7" i="6" s="1"/>
  <c r="J8" i="6" s="1"/>
  <c r="J9" i="6" s="1"/>
  <c r="J10" i="6" s="1"/>
  <c r="J11" i="6" s="1"/>
  <c r="J12" i="6" s="1"/>
  <c r="J13" i="6" s="1"/>
  <c r="J14" i="6" s="1"/>
  <c r="J15" i="6" s="1"/>
  <c r="J16" i="6" s="1"/>
  <c r="J17" i="6" s="1"/>
  <c r="J18" i="6" s="1"/>
  <c r="C9" i="6"/>
  <c r="D8" i="8"/>
  <c r="C73" i="2"/>
  <c r="C72" i="2"/>
  <c r="C68" i="2"/>
  <c r="C67" i="2"/>
  <c r="C66" i="2"/>
  <c r="C64" i="2"/>
  <c r="C62" i="2"/>
  <c r="C60" i="2"/>
  <c r="C58" i="2"/>
  <c r="C56" i="2"/>
  <c r="C55" i="2"/>
  <c r="C54" i="2"/>
  <c r="C51" i="2"/>
  <c r="C50" i="2"/>
  <c r="C49" i="2"/>
  <c r="C48" i="2"/>
  <c r="C47" i="2"/>
  <c r="C46" i="2"/>
  <c r="C45" i="2"/>
  <c r="C44" i="2"/>
  <c r="C43" i="2"/>
  <c r="C39" i="2"/>
  <c r="C38" i="2"/>
  <c r="C37" i="2"/>
  <c r="C36" i="2"/>
  <c r="C34" i="2"/>
  <c r="C32" i="2"/>
  <c r="C31" i="2"/>
  <c r="C30" i="2"/>
  <c r="C29" i="2"/>
  <c r="C28" i="2"/>
  <c r="C27" i="2"/>
  <c r="C26" i="2"/>
  <c r="C24" i="2"/>
  <c r="C23" i="2"/>
  <c r="C22" i="2"/>
  <c r="C20" i="2"/>
  <c r="C19" i="2"/>
  <c r="C18" i="2"/>
  <c r="C17" i="2"/>
  <c r="C15" i="2"/>
  <c r="C13" i="2"/>
  <c r="C11" i="2"/>
  <c r="C9" i="2"/>
  <c r="C7" i="2"/>
  <c r="J5" i="2"/>
  <c r="J6" i="2" s="1"/>
  <c r="J7" i="2" s="1"/>
  <c r="J8" i="2" s="1"/>
  <c r="J9" i="2" s="1"/>
  <c r="J10" i="2" s="1"/>
  <c r="J11" i="2" s="1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C5" i="2"/>
  <c r="D7" i="8"/>
  <c r="D6" i="8"/>
  <c r="D5" i="8"/>
  <c r="E72" i="7"/>
  <c r="E70" i="7"/>
  <c r="E63" i="7"/>
  <c r="E56" i="7"/>
  <c r="E55" i="7"/>
  <c r="E53" i="7"/>
  <c r="E11" i="7"/>
  <c r="E6" i="7"/>
  <c r="J5" i="7"/>
  <c r="J137" i="2" l="1"/>
  <c r="J138" i="2" s="1"/>
  <c r="J139" i="2" s="1"/>
  <c r="J140" i="2" s="1"/>
  <c r="J141" i="2" s="1"/>
  <c r="J142" i="2" s="1"/>
  <c r="J143" i="2" s="1"/>
  <c r="J68" i="6"/>
  <c r="J69" i="6" s="1"/>
  <c r="J70" i="6" s="1"/>
  <c r="J56" i="2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B15" i="6"/>
  <c r="J6" i="7"/>
  <c r="J144" i="2" l="1"/>
  <c r="J145" i="2" s="1"/>
  <c r="J146" i="2" s="1"/>
  <c r="J71" i="6"/>
  <c r="J72" i="6" s="1"/>
  <c r="J73" i="6" s="1"/>
  <c r="J7" i="7"/>
  <c r="B24" i="6"/>
  <c r="B25" i="6" s="1"/>
  <c r="B26" i="6" s="1"/>
  <c r="D7" i="1"/>
  <c r="D9" i="1" s="1"/>
  <c r="D11" i="1" s="1"/>
  <c r="D13" i="1" s="1"/>
  <c r="D14" i="1" s="1"/>
  <c r="D18" i="1" s="1"/>
  <c r="D21" i="1" s="1"/>
  <c r="D24" i="1" s="1"/>
  <c r="D27" i="1" s="1"/>
  <c r="D30" i="1" s="1"/>
  <c r="D33" i="1" s="1"/>
  <c r="D36" i="1" s="1"/>
  <c r="D38" i="1" s="1"/>
  <c r="D40" i="1" s="1"/>
  <c r="D42" i="1" s="1"/>
  <c r="D45" i="1" s="1"/>
  <c r="D48" i="1" s="1"/>
  <c r="D51" i="1" s="1"/>
  <c r="D54" i="1" s="1"/>
  <c r="D57" i="1" s="1"/>
  <c r="D60" i="1" s="1"/>
  <c r="D63" i="1" s="1"/>
  <c r="D66" i="1" s="1"/>
  <c r="B27" i="6" l="1"/>
  <c r="B28" i="6" s="1"/>
  <c r="B29" i="6" s="1"/>
  <c r="B30" i="6" s="1"/>
  <c r="B31" i="6" s="1"/>
  <c r="B32" i="6" s="1"/>
  <c r="B33" i="6" s="1"/>
  <c r="B34" i="6" s="1"/>
  <c r="B35" i="6" s="1"/>
  <c r="B36" i="6" s="1"/>
  <c r="B37" i="6" s="1"/>
  <c r="B38" i="6" s="1"/>
  <c r="B39" i="6" s="1"/>
  <c r="B40" i="6" s="1"/>
  <c r="B41" i="6" s="1"/>
  <c r="B42" i="6" s="1"/>
  <c r="B43" i="6" s="1"/>
  <c r="B44" i="6" s="1"/>
  <c r="B45" i="6" s="1"/>
  <c r="B46" i="6" s="1"/>
  <c r="B47" i="6" s="1"/>
  <c r="B48" i="6" s="1"/>
  <c r="B49" i="6" s="1"/>
  <c r="B50" i="6" s="1"/>
  <c r="B51" i="6" s="1"/>
  <c r="B52" i="6" s="1"/>
  <c r="B53" i="6" s="1"/>
  <c r="B54" i="6" s="1"/>
  <c r="B55" i="6" s="1"/>
  <c r="B56" i="6" s="1"/>
  <c r="B57" i="6" s="1"/>
  <c r="B58" i="6" s="1"/>
  <c r="B59" i="6" s="1"/>
  <c r="B60" i="6" s="1"/>
  <c r="B61" i="6" s="1"/>
  <c r="B62" i="6" s="1"/>
  <c r="B63" i="6" s="1"/>
  <c r="B64" i="6" s="1"/>
  <c r="B65" i="6" s="1"/>
  <c r="B66" i="6" s="1"/>
  <c r="B67" i="6" s="1"/>
  <c r="B68" i="6" s="1"/>
  <c r="J147" i="2"/>
  <c r="J148" i="2" s="1"/>
  <c r="J149" i="2" s="1"/>
  <c r="J150" i="2" s="1"/>
  <c r="J151" i="2" s="1"/>
  <c r="J152" i="2" s="1"/>
  <c r="J74" i="6"/>
  <c r="J75" i="6" s="1"/>
  <c r="J76" i="6" s="1"/>
  <c r="J8" i="7"/>
  <c r="J5" i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153" i="2" l="1"/>
  <c r="J154" i="2" s="1"/>
  <c r="J155" i="2"/>
  <c r="J156" i="2" s="1"/>
  <c r="J157" i="2" s="1"/>
  <c r="J158" i="2" s="1"/>
  <c r="J77" i="6"/>
  <c r="J78" i="6" s="1"/>
  <c r="J79" i="6" s="1"/>
  <c r="B69" i="6"/>
  <c r="B70" i="6" s="1"/>
  <c r="B71" i="6" s="1"/>
  <c r="B72" i="6" s="1"/>
  <c r="B73" i="6" s="1"/>
  <c r="B74" i="6" s="1"/>
  <c r="B75" i="6" s="1"/>
  <c r="B76" i="6" s="1"/>
  <c r="B77" i="6" s="1"/>
  <c r="B78" i="6" s="1"/>
  <c r="B79" i="6" s="1"/>
  <c r="B80" i="6" s="1"/>
  <c r="B81" i="6" s="1"/>
  <c r="B82" i="6" s="1"/>
  <c r="B83" i="6" s="1"/>
  <c r="B84" i="6" s="1"/>
  <c r="B85" i="6" s="1"/>
  <c r="B86" i="6" s="1"/>
  <c r="B87" i="6" s="1"/>
  <c r="B88" i="6" s="1"/>
  <c r="B89" i="6" s="1"/>
  <c r="B90" i="6" s="1"/>
  <c r="B91" i="6" s="1"/>
  <c r="B92" i="6" s="1"/>
  <c r="B93" i="6" s="1"/>
  <c r="B94" i="6" s="1"/>
  <c r="B95" i="6" s="1"/>
  <c r="B96" i="6" s="1"/>
  <c r="B97" i="6" s="1"/>
  <c r="B98" i="6" s="1"/>
  <c r="B99" i="6" s="1"/>
  <c r="B100" i="6" s="1"/>
  <c r="B101" i="6" s="1"/>
  <c r="B102" i="6" s="1"/>
  <c r="B103" i="6" s="1"/>
  <c r="B104" i="6" s="1"/>
  <c r="B105" i="6" s="1"/>
  <c r="B106" i="6" s="1"/>
  <c r="B107" i="6" s="1"/>
  <c r="B108" i="6" s="1"/>
  <c r="B109" i="6" s="1"/>
  <c r="B110" i="6" s="1"/>
  <c r="B111" i="6" s="1"/>
  <c r="B112" i="6" s="1"/>
  <c r="B113" i="6" s="1"/>
  <c r="B114" i="6" s="1"/>
  <c r="B115" i="6" s="1"/>
  <c r="B116" i="6" s="1"/>
  <c r="B117" i="6" s="1"/>
  <c r="B118" i="6" s="1"/>
  <c r="B119" i="6" s="1"/>
  <c r="B120" i="6" s="1"/>
  <c r="B121" i="6" s="1"/>
  <c r="B122" i="6" s="1"/>
  <c r="B123" i="6" s="1"/>
  <c r="B124" i="6" s="1"/>
  <c r="B125" i="6" s="1"/>
  <c r="B126" i="6" s="1"/>
  <c r="B127" i="6" s="1"/>
  <c r="B129" i="6" s="1"/>
  <c r="B130" i="6" s="1"/>
  <c r="B131" i="6" s="1"/>
  <c r="B133" i="6" s="1"/>
  <c r="B134" i="6" s="1"/>
  <c r="B135" i="6" s="1"/>
  <c r="B136" i="6" s="1"/>
  <c r="B137" i="6" s="1"/>
  <c r="B138" i="6" s="1"/>
  <c r="B139" i="6" s="1"/>
  <c r="B140" i="6" s="1"/>
  <c r="B141" i="6" s="1"/>
  <c r="B142" i="6" s="1"/>
  <c r="B143" i="6" s="1"/>
  <c r="B144" i="6" s="1"/>
  <c r="B145" i="6" s="1"/>
  <c r="B146" i="6" s="1"/>
  <c r="B147" i="6" s="1"/>
  <c r="B148" i="6" s="1"/>
  <c r="B149" i="6" s="1"/>
  <c r="B150" i="6" s="1"/>
  <c r="B151" i="6" s="1"/>
  <c r="B152" i="6" s="1"/>
  <c r="B153" i="6" s="1"/>
  <c r="B154" i="6" s="1"/>
  <c r="B155" i="6" s="1"/>
  <c r="B156" i="6" s="1"/>
  <c r="B157" i="6" s="1"/>
  <c r="B158" i="6" s="1"/>
  <c r="B159" i="6" s="1"/>
  <c r="B160" i="6" s="1"/>
  <c r="B161" i="6" s="1"/>
  <c r="B162" i="6" s="1"/>
  <c r="B163" i="6" s="1"/>
  <c r="B164" i="6" s="1"/>
  <c r="B165" i="6" s="1"/>
  <c r="B166" i="6" s="1"/>
  <c r="B167" i="6" s="1"/>
  <c r="B168" i="6" s="1"/>
  <c r="B169" i="6" s="1"/>
  <c r="B170" i="6" s="1"/>
  <c r="B171" i="6" s="1"/>
  <c r="B172" i="6" s="1"/>
  <c r="B173" i="6" s="1"/>
  <c r="B174" i="6" s="1"/>
  <c r="B175" i="6" s="1"/>
  <c r="B176" i="6" s="1"/>
  <c r="B177" i="6" s="1"/>
  <c r="B178" i="6" s="1"/>
  <c r="B179" i="6" s="1"/>
  <c r="B180" i="6" s="1"/>
  <c r="B181" i="6" s="1"/>
  <c r="B182" i="6" s="1"/>
  <c r="B183" i="6" s="1"/>
  <c r="B184" i="6" s="1"/>
  <c r="B185" i="6" s="1"/>
  <c r="B186" i="6" s="1"/>
  <c r="B187" i="6" s="1"/>
  <c r="B188" i="6" s="1"/>
  <c r="B189" i="6" s="1"/>
  <c r="B190" i="6" s="1"/>
  <c r="B191" i="6" s="1"/>
  <c r="B192" i="6" s="1"/>
  <c r="B193" i="6" s="1"/>
  <c r="B194" i="6" s="1"/>
  <c r="B195" i="6" s="1"/>
  <c r="B196" i="6" s="1"/>
  <c r="B197" i="6" s="1"/>
  <c r="B198" i="6" s="1"/>
  <c r="B199" i="6" s="1"/>
  <c r="B200" i="6" s="1"/>
  <c r="J9" i="7"/>
  <c r="J51" i="1"/>
  <c r="J52" i="1" s="1"/>
  <c r="J159" i="2" l="1"/>
  <c r="J160" i="2" s="1"/>
  <c r="J161" i="2"/>
  <c r="J162" i="2" s="1"/>
  <c r="J163" i="2" s="1"/>
  <c r="J164" i="2" s="1"/>
  <c r="J165" i="2" s="1"/>
  <c r="J166" i="2" s="1"/>
  <c r="J167" i="2" s="1"/>
  <c r="J80" i="6"/>
  <c r="J10" i="7"/>
  <c r="J53" i="1"/>
  <c r="J54" i="1" s="1"/>
  <c r="J168" i="2" l="1"/>
  <c r="J169" i="2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81" i="6"/>
  <c r="J82" i="6" s="1"/>
  <c r="J83" i="6" s="1"/>
  <c r="J84" i="6" s="1"/>
  <c r="J85" i="6" s="1"/>
  <c r="J11" i="7"/>
  <c r="J55" i="1"/>
  <c r="J56" i="1" s="1"/>
  <c r="J57" i="1" s="1"/>
  <c r="J58" i="1" s="1"/>
  <c r="J59" i="1" s="1"/>
  <c r="J60" i="1" s="1"/>
  <c r="J195" i="2" l="1"/>
  <c r="J196" i="2"/>
  <c r="J197" i="2" s="1"/>
  <c r="J86" i="6"/>
  <c r="J87" i="6" s="1"/>
  <c r="J88" i="6" s="1"/>
  <c r="J89" i="6" s="1"/>
  <c r="J90" i="6" s="1"/>
  <c r="J91" i="6" s="1"/>
  <c r="J12" i="7"/>
  <c r="J61" i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198" i="2" l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92" i="6"/>
  <c r="J93" i="6" s="1"/>
  <c r="J94" i="6" s="1"/>
  <c r="J95" i="6" s="1"/>
  <c r="J96" i="6" s="1"/>
  <c r="J97" i="6" s="1"/>
  <c r="J98" i="6" s="1"/>
  <c r="J99" i="6" s="1"/>
  <c r="J100" i="6" s="1"/>
  <c r="J13" i="7"/>
  <c r="J73" i="1"/>
  <c r="J74" i="1" s="1"/>
  <c r="J75" i="1" s="1"/>
  <c r="J101" i="6" l="1"/>
  <c r="J102" i="6" s="1"/>
  <c r="J103" i="6" s="1"/>
  <c r="J104" i="6" s="1"/>
  <c r="J105" i="6" s="1"/>
  <c r="J106" i="6" s="1"/>
  <c r="J107" i="6" s="1"/>
  <c r="J108" i="6" s="1"/>
  <c r="J109" i="6" s="1"/>
  <c r="J110" i="6" s="1"/>
  <c r="J111" i="6" s="1"/>
  <c r="J112" i="6" s="1"/>
  <c r="J14" i="7"/>
  <c r="J76" i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13" i="6" l="1"/>
  <c r="J114" i="6" s="1"/>
  <c r="J115" i="6" s="1"/>
  <c r="J116" i="6" s="1"/>
  <c r="J117" i="6" s="1"/>
  <c r="J118" i="6" s="1"/>
  <c r="J119" i="6" s="1"/>
  <c r="J120" i="6" s="1"/>
  <c r="J121" i="6" s="1"/>
  <c r="J106" i="1"/>
  <c r="J107" i="1" s="1"/>
  <c r="J108" i="1" s="1"/>
  <c r="J109" i="1" s="1"/>
  <c r="J110" i="1" s="1"/>
  <c r="J111" i="1" s="1"/>
  <c r="J15" i="7"/>
  <c r="J122" i="6" l="1"/>
  <c r="J123" i="6" s="1"/>
  <c r="J124" i="6" s="1"/>
  <c r="J125" i="6" s="1"/>
  <c r="J126" i="6" s="1"/>
  <c r="J127" i="6" s="1"/>
  <c r="J128" i="6" s="1"/>
  <c r="J129" i="6" s="1"/>
  <c r="J130" i="6" s="1"/>
  <c r="J131" i="6" s="1"/>
  <c r="J132" i="6" s="1"/>
  <c r="J133" i="6" s="1"/>
  <c r="J134" i="6" s="1"/>
  <c r="J135" i="6" s="1"/>
  <c r="J136" i="6" s="1"/>
  <c r="J137" i="6" s="1"/>
  <c r="J138" i="6" s="1"/>
  <c r="J139" i="6" s="1"/>
  <c r="J140" i="6" s="1"/>
  <c r="J141" i="6" s="1"/>
  <c r="J142" i="6" s="1"/>
  <c r="J143" i="6" s="1"/>
  <c r="J112" i="1"/>
  <c r="J113" i="1" s="1"/>
  <c r="J114" i="1" s="1"/>
  <c r="J16" i="7"/>
  <c r="J115" i="1" l="1"/>
  <c r="J116" i="1" s="1"/>
  <c r="J117" i="1" s="1"/>
  <c r="J17" i="7"/>
  <c r="J144" i="6" l="1"/>
  <c r="J118" i="1"/>
  <c r="J119" i="1" s="1"/>
  <c r="J120" i="1" s="1"/>
  <c r="J18" i="7"/>
  <c r="J145" i="6" l="1"/>
  <c r="J146" i="6" s="1"/>
  <c r="J147" i="6" s="1"/>
  <c r="J148" i="6" s="1"/>
  <c r="J149" i="6" s="1"/>
  <c r="J150" i="6" s="1"/>
  <c r="J151" i="6" s="1"/>
  <c r="J152" i="6" s="1"/>
  <c r="J153" i="6" s="1"/>
  <c r="J154" i="6" s="1"/>
  <c r="J155" i="6" s="1"/>
  <c r="J121" i="1"/>
  <c r="J122" i="1" s="1"/>
  <c r="J123" i="1" s="1"/>
  <c r="J19" i="7"/>
  <c r="J156" i="6" l="1"/>
  <c r="J157" i="6" s="1"/>
  <c r="J158" i="6" s="1"/>
  <c r="J159" i="6" s="1"/>
  <c r="J160" i="6" s="1"/>
  <c r="J161" i="6" s="1"/>
  <c r="J162" i="6" s="1"/>
  <c r="J163" i="6" s="1"/>
  <c r="J164" i="6" s="1"/>
  <c r="J165" i="6" s="1"/>
  <c r="J166" i="6" s="1"/>
  <c r="J167" i="6" s="1"/>
  <c r="J168" i="6" s="1"/>
  <c r="J169" i="6" s="1"/>
  <c r="J170" i="6" s="1"/>
  <c r="J171" i="6" s="1"/>
  <c r="J172" i="6" s="1"/>
  <c r="J173" i="6" s="1"/>
  <c r="J174" i="6" s="1"/>
  <c r="J175" i="6" s="1"/>
  <c r="J176" i="6" s="1"/>
  <c r="J177" i="6" s="1"/>
  <c r="J178" i="6" s="1"/>
  <c r="J179" i="6" s="1"/>
  <c r="J180" i="6" s="1"/>
  <c r="J181" i="6" s="1"/>
  <c r="J182" i="6" s="1"/>
  <c r="J183" i="6" s="1"/>
  <c r="J184" i="6" s="1"/>
  <c r="J185" i="6" s="1"/>
  <c r="J186" i="6" s="1"/>
  <c r="J187" i="6" s="1"/>
  <c r="J188" i="6" s="1"/>
  <c r="J189" i="6" s="1"/>
  <c r="J190" i="6" s="1"/>
  <c r="J191" i="6" s="1"/>
  <c r="J192" i="6" s="1"/>
  <c r="J193" i="6" s="1"/>
  <c r="J194" i="6" s="1"/>
  <c r="J195" i="6" s="1"/>
  <c r="J196" i="6" s="1"/>
  <c r="J197" i="6" s="1"/>
  <c r="J198" i="6" s="1"/>
  <c r="J199" i="6" s="1"/>
  <c r="J200" i="6" s="1"/>
  <c r="J124" i="1"/>
  <c r="J125" i="1" s="1"/>
  <c r="J126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20" i="7"/>
  <c r="J137" i="1" l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5" i="1" s="1"/>
  <c r="J156" i="1" s="1"/>
  <c r="J157" i="1" s="1"/>
  <c r="J158" i="1" s="1"/>
  <c r="J159" i="1" s="1"/>
  <c r="J160" i="1" s="1"/>
  <c r="J161" i="1" s="1"/>
  <c r="J162" i="1" s="1"/>
  <c r="J163" i="1" s="1"/>
  <c r="J164" i="1" s="1"/>
  <c r="J165" i="1" s="1"/>
  <c r="J166" i="1" s="1"/>
  <c r="J167" i="1" s="1"/>
  <c r="J168" i="1" s="1"/>
  <c r="J169" i="1" s="1"/>
  <c r="J21" i="7"/>
  <c r="J177" i="1" l="1"/>
  <c r="J178" i="1" s="1"/>
  <c r="J179" i="1" s="1"/>
  <c r="J180" i="1" s="1"/>
  <c r="J181" i="1" s="1"/>
  <c r="J182" i="1" s="1"/>
  <c r="J183" i="1" s="1"/>
  <c r="J184" i="1" s="1"/>
  <c r="J185" i="1" s="1"/>
  <c r="J186" i="1" s="1"/>
  <c r="J187" i="1" s="1"/>
  <c r="J188" i="1" s="1"/>
  <c r="J189" i="1" s="1"/>
  <c r="J190" i="1" s="1"/>
  <c r="J191" i="1" s="1"/>
  <c r="J192" i="1" s="1"/>
  <c r="J193" i="1" s="1"/>
  <c r="J194" i="1" s="1"/>
  <c r="J195" i="1" s="1"/>
  <c r="J196" i="1" s="1"/>
  <c r="J197" i="1" s="1"/>
  <c r="J198" i="1" s="1"/>
  <c r="J199" i="1" s="1"/>
  <c r="J200" i="1" s="1"/>
  <c r="J201" i="1" s="1"/>
  <c r="J202" i="1" s="1"/>
  <c r="J203" i="1" s="1"/>
  <c r="J204" i="1" s="1"/>
  <c r="J205" i="1" s="1"/>
  <c r="J206" i="1" s="1"/>
  <c r="J207" i="1" s="1"/>
  <c r="J208" i="1" s="1"/>
  <c r="J209" i="1" s="1"/>
  <c r="J210" i="1" s="1"/>
  <c r="J211" i="1" s="1"/>
  <c r="J212" i="1" s="1"/>
  <c r="J213" i="1" s="1"/>
  <c r="J214" i="1" s="1"/>
  <c r="J22" i="7"/>
  <c r="J23" i="7" l="1"/>
  <c r="J24" i="7" l="1"/>
  <c r="J25" i="7" l="1"/>
  <c r="J26" i="7" l="1"/>
  <c r="J27" i="7" l="1"/>
  <c r="J28" i="7" l="1"/>
  <c r="J29" i="7" l="1"/>
  <c r="J30" i="7" l="1"/>
  <c r="J31" i="7" l="1"/>
  <c r="J32" i="7" l="1"/>
  <c r="J33" i="7" l="1"/>
  <c r="J34" i="7" l="1"/>
  <c r="J35" i="7" l="1"/>
  <c r="J36" i="7" l="1"/>
  <c r="J37" i="7" l="1"/>
  <c r="J38" i="7" l="1"/>
  <c r="J39" i="7" l="1"/>
  <c r="J40" i="7" l="1"/>
  <c r="J41" i="7" l="1"/>
  <c r="J42" i="7" l="1"/>
  <c r="J43" i="7" l="1"/>
  <c r="J44" i="7" l="1"/>
  <c r="J45" i="7" l="1"/>
  <c r="J46" i="7" l="1"/>
  <c r="J47" i="7" l="1"/>
  <c r="J48" i="7" l="1"/>
  <c r="J49" i="7" l="1"/>
  <c r="J50" i="7" l="1"/>
  <c r="J51" i="7" l="1"/>
  <c r="J52" i="7" l="1"/>
  <c r="J53" i="7" l="1"/>
  <c r="J54" i="7" l="1"/>
  <c r="J55" i="7" l="1"/>
  <c r="J56" i="7" l="1"/>
  <c r="J57" i="7" l="1"/>
  <c r="J58" i="7" l="1"/>
  <c r="J59" i="7" l="1"/>
  <c r="J60" i="7" l="1"/>
  <c r="J61" i="7" l="1"/>
  <c r="J62" i="7" l="1"/>
  <c r="J63" i="7" l="1"/>
  <c r="J64" i="7" l="1"/>
  <c r="J65" i="7" l="1"/>
  <c r="J66" i="7" l="1"/>
  <c r="J67" i="7" l="1"/>
  <c r="J68" i="7" l="1"/>
  <c r="J69" i="7" l="1"/>
  <c r="J70" i="7" l="1"/>
  <c r="J71" i="7" l="1"/>
  <c r="J72" i="7" l="1"/>
  <c r="J73" i="7" l="1"/>
  <c r="J74" i="7" l="1"/>
  <c r="J75" i="7" l="1"/>
  <c r="J76" i="7" l="1"/>
  <c r="J77" i="7" l="1"/>
  <c r="J78" i="7" l="1"/>
  <c r="J79" i="7" l="1"/>
  <c r="J80" i="7" l="1"/>
  <c r="J81" i="7" l="1"/>
  <c r="J82" i="7" l="1"/>
  <c r="J83" i="7" l="1"/>
  <c r="J84" i="7" l="1"/>
  <c r="J85" i="7" l="1"/>
  <c r="J86" i="7" l="1"/>
  <c r="J87" i="7" l="1"/>
  <c r="J88" i="7" l="1"/>
  <c r="J89" i="7" l="1"/>
  <c r="J90" i="7" l="1"/>
  <c r="J91" i="7" l="1"/>
  <c r="J92" i="7" l="1"/>
  <c r="J93" i="7" l="1"/>
  <c r="J94" i="7" l="1"/>
  <c r="J95" i="7" l="1"/>
  <c r="J96" i="7" l="1"/>
  <c r="J97" i="7" l="1"/>
  <c r="J98" i="7" l="1"/>
  <c r="J99" i="7" l="1"/>
  <c r="J100" i="7" l="1"/>
  <c r="J101" i="7" l="1"/>
  <c r="J102" i="7" l="1"/>
  <c r="J103" i="7" l="1"/>
  <c r="J104" i="7" l="1"/>
  <c r="J105" i="7" l="1"/>
  <c r="J106" i="7" l="1"/>
  <c r="J107" i="7" l="1"/>
  <c r="J108" i="7" l="1"/>
  <c r="J109" i="7" l="1"/>
  <c r="J110" i="7" l="1"/>
  <c r="J111" i="7" l="1"/>
  <c r="J112" i="7" l="1"/>
  <c r="J113" i="7" l="1"/>
  <c r="J114" i="7" l="1"/>
  <c r="J115" i="7" l="1"/>
  <c r="J116" i="7" l="1"/>
  <c r="J117" i="7" l="1"/>
  <c r="J118" i="7" l="1"/>
  <c r="J119" i="7" l="1"/>
  <c r="J120" i="7" l="1"/>
  <c r="J121" i="7" l="1"/>
  <c r="J122" i="7" l="1"/>
  <c r="J123" i="7" l="1"/>
  <c r="J124" i="7" l="1"/>
  <c r="J125" i="7" l="1"/>
  <c r="J126" i="7" l="1"/>
  <c r="J127" i="7" l="1"/>
  <c r="J128" i="7" l="1"/>
  <c r="J129" i="7" l="1"/>
  <c r="J130" i="7" l="1"/>
  <c r="J131" i="7" l="1"/>
  <c r="J132" i="7" l="1"/>
  <c r="J133" i="7" l="1"/>
  <c r="J134" i="7" l="1"/>
  <c r="J135" i="7" l="1"/>
  <c r="J136" i="7" l="1"/>
  <c r="J137" i="7" l="1"/>
  <c r="J138" i="7" l="1"/>
  <c r="J139" i="7" l="1"/>
  <c r="J140" i="7" l="1"/>
  <c r="J141" i="7" l="1"/>
  <c r="J142" i="7" l="1"/>
  <c r="J143" i="7" l="1"/>
  <c r="J144" i="7" l="1"/>
  <c r="J145" i="7" l="1"/>
  <c r="J146" i="7" l="1"/>
  <c r="J147" i="7" l="1"/>
  <c r="J148" i="7" l="1"/>
  <c r="J149" i="7" l="1"/>
  <c r="J150" i="7" l="1"/>
  <c r="J151" i="7" l="1"/>
  <c r="J152" i="7" l="1"/>
  <c r="J153" i="7" s="1"/>
  <c r="J154" i="7" l="1"/>
  <c r="J155" i="7" s="1"/>
  <c r="J156" i="7" s="1"/>
  <c r="J199" i="9"/>
  <c r="L199" i="9" s="1"/>
  <c r="L361" i="9" l="1"/>
  <c r="L362" i="9" s="1"/>
  <c r="K362" i="9" l="1"/>
</calcChain>
</file>

<file path=xl/sharedStrings.xml><?xml version="1.0" encoding="utf-8"?>
<sst xmlns="http://schemas.openxmlformats.org/spreadsheetml/2006/main" count="2955" uniqueCount="455">
  <si>
    <t>Kira tahakkuku</t>
  </si>
  <si>
    <t>Selim'in bankasina kira odemesi</t>
  </si>
  <si>
    <t>Can'in bankasina kira odemesi</t>
  </si>
  <si>
    <t>Selim'e elden odeme</t>
  </si>
  <si>
    <t>Can'a elden odeme</t>
  </si>
  <si>
    <t>Selim'e Kira Odemesi</t>
  </si>
  <si>
    <t>Donem</t>
  </si>
  <si>
    <t>Tarih</t>
  </si>
  <si>
    <t>Miktar</t>
  </si>
  <si>
    <t>Aciklama</t>
  </si>
  <si>
    <t xml:space="preserve">Kalan Alacak / Borc </t>
  </si>
  <si>
    <t>GOP</t>
  </si>
  <si>
    <t>Birevim</t>
  </si>
  <si>
    <t>No</t>
  </si>
  <si>
    <t>Adres</t>
  </si>
  <si>
    <t>Murat Bayram</t>
  </si>
  <si>
    <t>43-45/4</t>
  </si>
  <si>
    <t>FTD</t>
  </si>
  <si>
    <t>Kiraci</t>
  </si>
  <si>
    <t>GOP - 43-45/2</t>
  </si>
  <si>
    <t>GOP - 43-45/1</t>
  </si>
  <si>
    <t>GOP - 43-45/3</t>
  </si>
  <si>
    <t>GOP - 43-45/4</t>
  </si>
  <si>
    <t>Bankaya yapilan odeme (Odeabank)</t>
  </si>
  <si>
    <t>4 aylik pesin odeme</t>
  </si>
  <si>
    <t>Aciklama (Ek)</t>
  </si>
  <si>
    <t>13. ayda %14 artista anlasildi.</t>
  </si>
  <si>
    <t>Mayis 2020'nin 39000-35910 farkinin Can'a dusen kismini odedi.</t>
  </si>
  <si>
    <t>35910'un yarisini odedi. (Kira 39000)</t>
  </si>
  <si>
    <t>6,7,8,9,10,11. aylardaki 39000-35910 farkini odediler</t>
  </si>
  <si>
    <t>Sira No</t>
  </si>
  <si>
    <t>Kiranin %75'inde anlasildi.</t>
  </si>
  <si>
    <t>35910'un yarisini odedi. (Kira 39000) - Eksik odeme</t>
  </si>
  <si>
    <t>Eski kiradan odeme</t>
  </si>
  <si>
    <t>Konum</t>
  </si>
  <si>
    <t>Sol Buyuk</t>
  </si>
  <si>
    <t>Sag Kucuk</t>
  </si>
  <si>
    <t>Sol Kucuk</t>
  </si>
  <si>
    <t>Sag Buyuk</t>
  </si>
  <si>
    <t>Ercan Sisik / Murat Bayram (Parfumcu)</t>
  </si>
  <si>
    <t>Kontrat Baslangici</t>
  </si>
  <si>
    <t>Kontrat Yenileme Tarihi</t>
  </si>
  <si>
    <t>Kira odemesi</t>
  </si>
  <si>
    <t>132000'lik cek tahsil edildi.</t>
  </si>
  <si>
    <t>Cek alindi</t>
  </si>
  <si>
    <t>Cek tahsil edildi</t>
  </si>
  <si>
    <t>108.000 TL</t>
  </si>
  <si>
    <t>156.000 TL</t>
  </si>
  <si>
    <t>118,8K -31/07/20 -
171,6K -31/07/20</t>
  </si>
  <si>
    <t>Elden odeme</t>
  </si>
  <si>
    <t>Geriye donuk kira farki icin</t>
  </si>
  <si>
    <t>Kira artis farki</t>
  </si>
  <si>
    <t>118800 TL</t>
  </si>
  <si>
    <t>171600 TL</t>
  </si>
  <si>
    <t>Bankadan kira odemesi</t>
  </si>
  <si>
    <t>66K - 31/05/21</t>
  </si>
  <si>
    <t>Kontrat sonu</t>
  </si>
  <si>
    <t>108K - 15/06/19
156K-31/06/19</t>
  </si>
  <si>
    <t>Murat Pervaz</t>
  </si>
  <si>
    <t>43-45/1</t>
  </si>
  <si>
    <t>43-45/2</t>
  </si>
  <si>
    <t>43-45/3</t>
  </si>
  <si>
    <t>Kira sozlesmesi yapildi</t>
  </si>
  <si>
    <t>Iki kira pesin + 1 kira depozit anlasildi. Kira baslangici 15/05/2021</t>
  </si>
  <si>
    <t>Selim'e depozito odendi elden</t>
  </si>
  <si>
    <t>Selim'e iki kira pesin odendi</t>
  </si>
  <si>
    <t>Tamami Can'in bankasina - 2 aylik pesin odeme</t>
  </si>
  <si>
    <t>57800 - 31/07/21</t>
  </si>
  <si>
    <t>66000 - Selim tahsil etti</t>
  </si>
  <si>
    <t>Iki aylik kira silindi</t>
  </si>
  <si>
    <t>15/07/21 cikis tarihi olarak anlasildi</t>
  </si>
  <si>
    <t>57800 - Can tahsil etti</t>
  </si>
  <si>
    <t>Genel bilgi: Bankaya %35 odeniyor sadece</t>
  </si>
  <si>
    <t>Cek tahsil edilecek</t>
  </si>
  <si>
    <t>Cek tahsil edilecek(31/07 tarihli)</t>
  </si>
  <si>
    <t>Kiraci cikiyor - Kontrat erken bitirildi</t>
  </si>
  <si>
    <t>Iki kira pesin + 1 kira depozit anlasildi. Kira baslangici 01/08/2021</t>
  </si>
  <si>
    <t>Sibel Abdukaya</t>
  </si>
  <si>
    <t>Selim'e iki kira pesin odendi [(38-15,6)x2]</t>
  </si>
  <si>
    <t>Selim'e depozito odendi elden (1 kira=38000)</t>
  </si>
  <si>
    <t>KIRA ARTIS DONEMI</t>
  </si>
  <si>
    <t>Elden odeme (Can)</t>
  </si>
  <si>
    <t>7000 + onceki aylar icin 8000 TL</t>
  </si>
  <si>
    <t>Elden odeme (Selim)</t>
  </si>
  <si>
    <t>7000 + onceki aylar icin 9000 TL</t>
  </si>
  <si>
    <t>Selim'e bir kira pesin odendi</t>
  </si>
  <si>
    <t>Emre Barut</t>
  </si>
  <si>
    <r>
      <t xml:space="preserve">Iki kira pesin + 1 kira depozit anlasildi. Kira baslangici </t>
    </r>
    <r>
      <rPr>
        <b/>
        <sz val="12"/>
        <color rgb="FF006100"/>
        <rFont val="Calibri"/>
        <family val="2"/>
        <scheme val="minor"/>
      </rPr>
      <t>01/10/2021</t>
    </r>
  </si>
  <si>
    <t>-</t>
  </si>
  <si>
    <t>Selim</t>
  </si>
  <si>
    <t>Can</t>
  </si>
  <si>
    <t>Odeme yapilan kisi</t>
  </si>
  <si>
    <t>Islem Tarihi</t>
  </si>
  <si>
    <t>Odeme Kime Yapildi?</t>
  </si>
  <si>
    <t>TOPLAM</t>
  </si>
  <si>
    <t>1 ay icin 35000 TL anlasildi.</t>
  </si>
  <si>
    <t>N/A</t>
  </si>
  <si>
    <t>Elden odeme - alinamadi (Bizden kaynaklandi).</t>
  </si>
  <si>
    <t>Mayis 2022 kira farki</t>
  </si>
  <si>
    <t>RED NIRVANA TEKSTIL</t>
  </si>
  <si>
    <t>Bos</t>
  </si>
  <si>
    <t>Selim'in bankasina yapilan odeme</t>
  </si>
  <si>
    <t>Tamami Selim'in bankasina - 2 aylik pesin odeme (2x22500)</t>
  </si>
  <si>
    <t>Selim'e iki kira pesin'in 49K'si odendi</t>
  </si>
  <si>
    <t>Selim'e iki kira pesin kalan kismi odendi (51K x 2 - 45K - 49K)</t>
  </si>
  <si>
    <t>Kira artisi yapildi - 24000 (11/10/2022)</t>
  </si>
  <si>
    <t>Selim'e depozito odendi elden (1 aylik kira karsiligi 51K) - 01/10/2022</t>
  </si>
  <si>
    <t>7875(Can)+14625(Selim) Herkesin kendi bankasina</t>
  </si>
  <si>
    <t>Bankaya yapilan odeme</t>
  </si>
  <si>
    <t>Selim'e Elden odeme</t>
  </si>
  <si>
    <t>GEC ODEME</t>
  </si>
  <si>
    <t>GEC &amp; EKSIK ODEME</t>
  </si>
  <si>
    <t xml:space="preserve"> </t>
  </si>
  <si>
    <t>Hesaplar sifirlandi</t>
  </si>
  <si>
    <t>CAN - SELIM</t>
  </si>
  <si>
    <t>GOP - Murat Bayram - Can'in bankasina - Temmuz 2023</t>
  </si>
  <si>
    <t>GOP - Murat Bayram - Selim'e Elden odeme Temmuz 2023</t>
  </si>
  <si>
    <t>GOP - Murat Bayram - Selim'e Elden odeme Agustos 2023</t>
  </si>
  <si>
    <t>GOP - Emre Barut - Can'in bankasina - Agustos 2023 - 4400</t>
  </si>
  <si>
    <t>GOP - Red NIRVANA Selim'e elden odeme - Agustos 2023</t>
  </si>
  <si>
    <t>GOP - Murat Bayram - Can'in bankasina - Agustos 2023</t>
  </si>
  <si>
    <t>GOP - Emre Barut - Can'a elden odeme (19600) - Agustos 2023</t>
  </si>
  <si>
    <t>RED Nirvana</t>
  </si>
  <si>
    <t>Mevcut</t>
  </si>
  <si>
    <t>Artis Orani</t>
  </si>
  <si>
    <t>Yeni Kira</t>
  </si>
  <si>
    <t>Fark</t>
  </si>
  <si>
    <t>Birevim'e uyguladigimiz orani kullanirsak</t>
  </si>
  <si>
    <t>Eylul Tufe rakamina gore (%56.28)</t>
  </si>
  <si>
    <t>%100 artirirsak</t>
  </si>
  <si>
    <t>Selim'e yapilmasi gereken odeme (TRY)</t>
  </si>
  <si>
    <t>Can'a yapilmasi gereken odeme (TRY)</t>
  </si>
  <si>
    <t>Selim'e yapilmasi gereken odeme (USD)</t>
  </si>
  <si>
    <t>Can'a yapilmasi gereken odeme (USD)</t>
  </si>
  <si>
    <t>Gelen Para
(TRY)</t>
  </si>
  <si>
    <t>Gelen Para 
(USD)</t>
  </si>
  <si>
    <t>Red Nirvana</t>
  </si>
  <si>
    <t>Aktif kiraci?</t>
  </si>
  <si>
    <t>Evet</t>
  </si>
  <si>
    <t>Hayir</t>
  </si>
  <si>
    <t>Kalan Alacak / Borc</t>
  </si>
  <si>
    <t>GOP - Red NIRVANA Selim'e elden odeme - Eylul 2023</t>
  </si>
  <si>
    <t>GOP - Murat Bayram - Can'in bankasina - Eylul 2023</t>
  </si>
  <si>
    <t>GOP - Murat Bayram - Selim'e Elden odeme Eylul 2023</t>
  </si>
  <si>
    <t>GOP - Emre Barut - Can'in bankasina - Eylul 2023 - 4400</t>
  </si>
  <si>
    <t>GOP - Emre Barut - Can'a elden odeme (19600) - Eylul 2023</t>
  </si>
  <si>
    <t>Kur (28.37)</t>
  </si>
  <si>
    <t>Kur (28.00)</t>
  </si>
  <si>
    <t>GOP - Red NIRVANA - Selim'e Elden Odeme - Ekim</t>
  </si>
  <si>
    <t>Kur:28.14</t>
  </si>
  <si>
    <t>USD</t>
  </si>
  <si>
    <t>GOP - Red NIRVANA Bankaya odenen yanlisin duzelilmesi - Ekim</t>
  </si>
  <si>
    <t>GOP - Red NIRVANA - Selim'e Elden Odeme - Kasim</t>
  </si>
  <si>
    <t>GOP - Emre Barut - Selim'e elden odeme $1400'un farki - Ekim 2023</t>
  </si>
  <si>
    <t>TRY</t>
  </si>
  <si>
    <t>GOP - Emre Barut - Can'a bankadan odeme (4600) - Ekim 2023</t>
  </si>
  <si>
    <t>GOP - Emre Barut - Selim'e elden odeme $1400'un farki - Kasim 2023</t>
  </si>
  <si>
    <t>Can Selim'e Satilan Paraflash'larin odemesi - 4250 TL</t>
  </si>
  <si>
    <t>GOP - Emre Barut - Can'in bankasina odeme (4600) - Kasim 2023</t>
  </si>
  <si>
    <t>›</t>
  </si>
  <si>
    <t>GOP - Red NIRVANA - Selim'e Elden Odeme - Aralik</t>
  </si>
  <si>
    <t>GOP - Red NIRVANA - Selim'e Elden Odeme - Ocak</t>
  </si>
  <si>
    <t>Kur</t>
  </si>
  <si>
    <t>Can Selim'den 45.000 TL  aldi. Kur 29.91</t>
  </si>
  <si>
    <t>Can Selim'den 5000 USD aldi.</t>
  </si>
  <si>
    <t>5 aralik</t>
  </si>
  <si>
    <t>5 ocak</t>
  </si>
  <si>
    <t>5 kasim</t>
  </si>
  <si>
    <t>17 ekim</t>
  </si>
  <si>
    <t>Can Selim'den 71.500 TL  aldi. Kur 29.91</t>
  </si>
  <si>
    <t>Selim Koc</t>
  </si>
  <si>
    <t>Can Boyacioglu</t>
  </si>
  <si>
    <t>Selim'e 1100 TL az yatmis</t>
  </si>
  <si>
    <t>Selim'e 1100 TL fazla yatmis</t>
  </si>
  <si>
    <t>Hesaplarin duzeltilmesi icin bundan sonra asagidaki gibi yatirilmasi gerekiyor.</t>
  </si>
  <si>
    <t>Selim'e 1100 TL az yatacak</t>
  </si>
  <si>
    <t>Rakamlar dogru yatacak</t>
  </si>
  <si>
    <t>TOPLAM KIRA</t>
  </si>
  <si>
    <t>Rakamlar dogru yatmis</t>
  </si>
  <si>
    <t>GOP - Red NIRVANA Bankaya odenenen yanlisi kendisi duzeltiyor. - Ekim</t>
  </si>
  <si>
    <t>Selim'e elden odeme - Ekim ve Kasim Gecikmis Kiralari</t>
  </si>
  <si>
    <t>GOP - Emre Barut - Can'in bankasina odeme (4600) - Ocak 2024</t>
  </si>
  <si>
    <t>GOP - Emre Barut - Selim'e elden odeme $1400'un farki - Ocak 2024</t>
  </si>
  <si>
    <t>GOP - Emre Barut - Can'in bankasina odeme (4600) - Aralik 2023</t>
  </si>
  <si>
    <t>GOP - Emre Barut - Selim'e elden odeme $1400'un farki - Aralik 2023</t>
  </si>
  <si>
    <r>
      <t xml:space="preserve">GOP - Murat Bayram - Selim'e Elden odeme </t>
    </r>
    <r>
      <rPr>
        <b/>
        <sz val="12"/>
        <color rgb="FFFF0000"/>
        <rFont val="Calibri (Body)"/>
      </rPr>
      <t>Kasim 2023</t>
    </r>
  </si>
  <si>
    <r>
      <t xml:space="preserve">GOP - Murat Bayram - Selim'e Elden odeme </t>
    </r>
    <r>
      <rPr>
        <b/>
        <sz val="12"/>
        <color rgb="FFFF0000"/>
        <rFont val="Calibri (Body)"/>
      </rPr>
      <t>Ekim 2023</t>
    </r>
  </si>
  <si>
    <t>Murat Bayram - Ekim 23 kirasi -  Ocak 2024'te odendi</t>
  </si>
  <si>
    <t>Murat Bayram - Kasim 23 kirasi - Ocak 2024'te odendi</t>
  </si>
  <si>
    <t>GOP - Red NIRVANA - Selim'e Elden Odeme - Subat</t>
  </si>
  <si>
    <t>Can Selim'den 2000 USD karsiligi TL aldi.</t>
  </si>
  <si>
    <t>Can Selim'den 1000 USD karsiligi TL aldi.</t>
  </si>
  <si>
    <t>Kur (29.84)</t>
  </si>
  <si>
    <t>9850(Can)+15150(Selim) (Oranlar yanlis olmus.) Toplam dogru</t>
  </si>
  <si>
    <t>8750(Can)+16250(Selim) Herkesin kendi bankasina</t>
  </si>
  <si>
    <t>7650(Can)+17350(Selim) (Oranlar yanlis olmus.) Toplam dogru</t>
  </si>
  <si>
    <t>Kur (28.93)</t>
  </si>
  <si>
    <t>9 Subat</t>
  </si>
  <si>
    <t>Olmasi gereken</t>
  </si>
  <si>
    <t>9850(Can)+15150(Selim) Onceki hatalar duzeltildi</t>
  </si>
  <si>
    <t>Kur (30.64)</t>
  </si>
  <si>
    <r>
      <t xml:space="preserve">GOP - Murat Bayram - Selim'e Elden odeme </t>
    </r>
    <r>
      <rPr>
        <b/>
        <sz val="12"/>
        <color rgb="FFFF0000"/>
        <rFont val="Calibri (Body)"/>
      </rPr>
      <t>Aralik 2023</t>
    </r>
  </si>
  <si>
    <r>
      <t xml:space="preserve">GOP - Murat Bayram - Selim'e Elden odeme </t>
    </r>
    <r>
      <rPr>
        <b/>
        <sz val="12"/>
        <color rgb="FFFF0000"/>
        <rFont val="Calibri (Body)"/>
      </rPr>
      <t>Ocak 2024</t>
    </r>
  </si>
  <si>
    <t>Selim'e elden odeme - Aralik ve Ocak 2024 Gecikmis Kiralari</t>
  </si>
  <si>
    <t>Murat Bayram - Aralik 23 Kirasi - Subat 2024'te odendi</t>
  </si>
  <si>
    <t>Murat Bayram - Ocak 24 Kirasi - Subat 2024'te odendi</t>
  </si>
  <si>
    <t>GOP - Emre Barut - Can'in bankasina odeme (4600) - Subat 2024</t>
  </si>
  <si>
    <t>GOP - Emre Barut - Selim'e elden odeme $1400'un farki - Subat 2024</t>
  </si>
  <si>
    <t>GOP - Red NIRVANA - Selim'e Elden Odeme - Mart</t>
  </si>
  <si>
    <t>Kur (32.39)</t>
  </si>
  <si>
    <t>Selim'e elden odeme - Subat ve Mart 2024</t>
  </si>
  <si>
    <t>GOP - Red NIRVANA - Selim'e Elden Odeme - Nisan</t>
  </si>
  <si>
    <t>Kur (32.30)</t>
  </si>
  <si>
    <t>GOP - Emre Barut - Can'in bankasina odeme (4600) - Mart 2024</t>
  </si>
  <si>
    <t>GOP - Murat Bayram - Selim'e Elden odeme Subat &amp; Mart 2024</t>
  </si>
  <si>
    <t>Kiralar - 2024-04-03.xlsx</t>
  </si>
  <si>
    <t>Kira tahakkuku (%57,9 zam yapilacak)</t>
  </si>
  <si>
    <t>(Kur=32.258)</t>
  </si>
  <si>
    <t>GOP - Red NIRVANA - Selim'e Elden Odeme - Mayis</t>
  </si>
  <si>
    <t>GOP - Murat Bayram - Selim'e Elden odeme Nisan 2024</t>
  </si>
  <si>
    <t>GOP - Emre Barut - Can'in bankasina odeme (4600) - Nisan 2024</t>
  </si>
  <si>
    <t>GOP - Emre Barut - Selim'e elden odeme $1400'un farki - Mart 2024</t>
  </si>
  <si>
    <t>GOP - Emre Barut - Selim'e elden odeme $1400'un farki - Nisan 2024</t>
  </si>
  <si>
    <t>Gecikme</t>
  </si>
  <si>
    <t>GOP - Murat Bayram - Selim'e Elden odeme Mayis 2024</t>
  </si>
  <si>
    <t>GOP - Emre Barut - Can'in bankasina odeme (4600) - Mayis 2024</t>
  </si>
  <si>
    <t>GOP - Emre Barut - Selim'e elden odeme $1400'un farki - Mayis 2024</t>
  </si>
  <si>
    <t>GOP - Murat Bayram - Selim'e Elden odeme Nisan-Mayis-Haziran 24</t>
  </si>
  <si>
    <t>GOP - Red NIRVANA Selim'e elden odeme - Haziran 2024</t>
  </si>
  <si>
    <t>GOP - Emre Barut - Can'in bankasina odeme (4600) - Haziran 2024</t>
  </si>
  <si>
    <t>GOP - Emre Barut - Selim'e elden odeme $1400'un farki - Haziran 2024</t>
  </si>
  <si>
    <t>GOP - Emre Barut - Can'in bankasina odeme (4600) - Temmuz 2024</t>
  </si>
  <si>
    <t>GOP - Emre Barut - Selim'e elden odeme $1400'un farki - Temmuz 2024</t>
  </si>
  <si>
    <t>GOP - Murat Bayram - Selim'e Elden odeme Temmuz 24</t>
  </si>
  <si>
    <t>(Kur=33,1774)</t>
  </si>
  <si>
    <t>GOP - Murat Bayram - Selim'e Elden odeme Agustos 2024</t>
  </si>
  <si>
    <t>GOP - Murat Bayram - Selim'e Elden odeme Eylul 2024</t>
  </si>
  <si>
    <t>GOP - Red NIRVANA Selim'e elden odeme - Temmuz 2024</t>
  </si>
  <si>
    <t>GOP - Red NIRVANA - Selim'e Elden Odeme - Agustos 2024</t>
  </si>
  <si>
    <t>GOP - Red NIRVANA Selim'e elden odeme - Eylul 2024</t>
  </si>
  <si>
    <t>Selim'e elden odeme - Temmuz, Agustos, Eylul, Ekim 2024</t>
  </si>
  <si>
    <t>Selim'e elden odeme - Nisan, Mayis, Haziran 2024</t>
  </si>
  <si>
    <t>GOP - Emre Barut - Can'in bankasina odeme (4600) - Agustos 2024</t>
  </si>
  <si>
    <t>GOP - Emre Barut - Selim'e elden odeme $1400'un farki - Agustos 2024</t>
  </si>
  <si>
    <t>GOP - Emre Barut - Can'in bankasina odeme (4600) - Eylul 2024</t>
  </si>
  <si>
    <t>GOP - Emre Barut - Selim'e elden odeme $1400'un farki - Eylul 2024</t>
  </si>
  <si>
    <t>GOP - Murat Bayram - Selim'e Elden odeme Temmuz, Agustos, Eylul, Ekim 2024</t>
  </si>
  <si>
    <t>GOP - Emre Barut - Can'in bankasina odeme (4600) - Ekim 2024</t>
  </si>
  <si>
    <t>GOP - Emre Barut - Can'in bankasina odeme (4600)</t>
  </si>
  <si>
    <t>GOP - Red NIRVANA - Selim'e Elden Odeme - 3300 USD-25000</t>
  </si>
  <si>
    <t>Can Selim'den 2909 USD karsiligi TL aldi.</t>
  </si>
  <si>
    <t>GOP - Red NIRVANA - Selim'e Elden Odeme - 3400 USD-25000</t>
  </si>
  <si>
    <t>2023 sonundaki hesap sifilamada hata yapilmis. 850-70=780 USD Selim borclu</t>
  </si>
  <si>
    <t>Hesaplar sifirlandi - 2023'teki hata duzeltildi. 850-70=780 USD karsiligi Selim TL gonderdi</t>
  </si>
  <si>
    <t>GOP - Birevim kira farki odemesi - Odeabank (1 aylik Can'in payi - Mayis 2020)</t>
  </si>
  <si>
    <t>Sadece Can'in Payi</t>
  </si>
  <si>
    <t>GOP - Murat Bayram - Kasim ayi kira odemesi - Odeabank</t>
  </si>
  <si>
    <t>GOP - Birevim kira odemesi - Aralik - Odeabank</t>
  </si>
  <si>
    <t>GOP - Birevim kira farki odemesi - Odeabank (6 aylik Can'in payi Haziran - Kasim 2020)</t>
  </si>
  <si>
    <t>MERTER - Resmi odeme - Odeabank'a</t>
  </si>
  <si>
    <t>GOP - FTD Odeme</t>
  </si>
  <si>
    <t>GOP - Murat Bayram - Kasim ayi kira odemesi - Selim'e nakit</t>
  </si>
  <si>
    <t>GOP - Murat Bayram - Aralik ayi kira odemesi - Odeabank</t>
  </si>
  <si>
    <t>GOP - Birevim kira odemesi - Ocak - Odeabank</t>
  </si>
  <si>
    <t>GOP - Murat Bayram - Nisan 2020 kalan kismin odemesi</t>
  </si>
  <si>
    <t xml:space="preserve">Hesaplar sifirlandi. Selim 6569 USD gonderecek </t>
  </si>
  <si>
    <t>GOP - Murat Bayram - Ocak ayi kira odemesi - Odeabank</t>
  </si>
  <si>
    <t>GOP - Murat Bayram - Subat ayi kira odemesi - Odeabank</t>
  </si>
  <si>
    <t>GOP - Murat Bayram - Mart ayi kira odemesi - Odeabank</t>
  </si>
  <si>
    <t>Vergi hesaplamasi sonrasi cikan fark. (Selim'in Can'a odemesi gereken rakam)</t>
  </si>
  <si>
    <t xml:space="preserve"> TRY              -  </t>
  </si>
  <si>
    <t>GOP - Murat Pervaz - 13000'e anlasildi. Selim'e iki kira+1 depozito - 8000 odendi</t>
  </si>
  <si>
    <t>GOP - Murat Pervaz - Iki aylik kira odemesi - Odeabank</t>
  </si>
  <si>
    <t>GOP - Murat Pervaz - DASK yapildi - Selim yaptirdi</t>
  </si>
  <si>
    <t>GOP - Murat Bayram - Nisan ayi kira odemesi - Odeabank</t>
  </si>
  <si>
    <t>GOP - Murat Bayram - Mayis ayi kira odemesi - Odeabank</t>
  </si>
  <si>
    <t>GOP - Murat Bayram - Haziran ayi kira odemesi - Odeabank</t>
  </si>
  <si>
    <t>GOP - Murat Bayram - Selim'e elden odeme</t>
  </si>
  <si>
    <t>GOP - Sibel Abdukaya - Selim'e 1 kira depozito</t>
  </si>
  <si>
    <t>GOP - Sibel Abdukaya - Selim'e iki kira elden (38-15,6)x2</t>
  </si>
  <si>
    <t>GOP - Sibel Abdukaya</t>
  </si>
  <si>
    <t>GOP - Murat Bayram - Temmuz ayi kira odemesi - Odeabank</t>
  </si>
  <si>
    <t>GOP - FTD Odeme (31/07/2021 tarihli cek)</t>
  </si>
  <si>
    <t>GOP - Murat Pervaz - kira odemesi - Odeabank</t>
  </si>
  <si>
    <t>GOP - Murat Pervaz - kira odemesi - Selim'e elden odeme</t>
  </si>
  <si>
    <t>GOP - Murat Bayram - Elden odeme (7000 + onceki aydan 8000)</t>
  </si>
  <si>
    <t>GOP - Murat Bayram - Agustos ayi kira odemesi - Odeabank</t>
  </si>
  <si>
    <t>GOP - Murat Bayram - Elden odeme (7000 + onceki aydan 9000)</t>
  </si>
  <si>
    <t>GOP - Emre Barut - Selim'e elden depozito odemesi</t>
  </si>
  <si>
    <t>GOP - Emre Barut - Selim'e elden iki kiranin elden odenen kismi</t>
  </si>
  <si>
    <t>GOP - Emre Barut - Can'in bankasina iki kiranin resmi</t>
  </si>
  <si>
    <t>GOP - Murat Bayram - Eylul ayi kira odemesi - Odeabank</t>
  </si>
  <si>
    <t>GOP - Murat Bayram - Ekim ayi kira odemesi - Odeabank</t>
  </si>
  <si>
    <t>Hesaplar sifirlandi. Selim elden 9362 USD verdi ve 22118 TL EFT yapti</t>
  </si>
  <si>
    <t>GOP - Murat Bayram - Can'in bankasina - Kasim 2021</t>
  </si>
  <si>
    <t>GOP - Emre Barut - Can'in bankasina - Aralik 2021</t>
  </si>
  <si>
    <t>GOP - Murat Bayram - Elden odeme (7000) - Kasim 2021</t>
  </si>
  <si>
    <t>GOP - Murat Bayram - Can'in bankasina - Aralik 2021</t>
  </si>
  <si>
    <t>GOP - Emre Barut - Can'in bankasina - Ocak 2022</t>
  </si>
  <si>
    <t>GOP - Murat Bayram - Elden odeme (7000) - Aralik 2021</t>
  </si>
  <si>
    <t>GOP - Murat Bayram - Can'in bankasina - Ocak 2022</t>
  </si>
  <si>
    <t>GOP - Emre Barut - Can'in bankasina - Subat 2022</t>
  </si>
  <si>
    <t>GOP - Murat Bayram - Can'a Elden odeme (11000) - Ocak 2022</t>
  </si>
  <si>
    <t>GOP - Emre Barut - Can'a elden odeme (9000) - Subat 2022</t>
  </si>
  <si>
    <t>GOP - Murat Bayram - Can'in bankasina - Subat 2022</t>
  </si>
  <si>
    <t>GOP - Emre Barut - Can'in bankasina - Mart 2022</t>
  </si>
  <si>
    <t>GOP - Emre Barut - Can'a elden odeme (9000) - Mart 2022</t>
  </si>
  <si>
    <t>GOP - Murat Bayram - Selim'e Elden odeme (22000) - Subat ve Mart 2022</t>
  </si>
  <si>
    <t>GOP - Murat Bayram - Can'in bankasina - Mart 2022</t>
  </si>
  <si>
    <t>GOP - Emre Barut - Can'in bankasina - Nisan 2022</t>
  </si>
  <si>
    <t>GOP - Emre Barut - Can'a elden odeme (9000) - Nisan 2022</t>
  </si>
  <si>
    <t>GOP - Murat Bayram - Can'in bankasina - Nisan 2022</t>
  </si>
  <si>
    <t>GOP - Murat Bayram - Selim'e Elden odeme (11000) - Nisan 2022</t>
  </si>
  <si>
    <t>GOP - Emre Barut - Can'in bankasina - Mayis 2022</t>
  </si>
  <si>
    <t>Vergi hesaplamasi sonrasi cikan fark. (Selim'in Can'a odemesi gereken rakam)-2021</t>
  </si>
  <si>
    <t xml:space="preserve">  TRY              -   </t>
  </si>
  <si>
    <t xml:space="preserve"> TRY                  -  </t>
  </si>
  <si>
    <t>GOP - Emre Barut - Can'a elden odeme (9000) - Mayis 2022</t>
  </si>
  <si>
    <t>GOP - Murat Bayram - Can'in bankasina - Mayis 2022</t>
  </si>
  <si>
    <t>GOP - Murat Bayram - Selim'e Elden odeme (11000) - Mayis 2022</t>
  </si>
  <si>
    <t>GOP - Emre Barut - Can'in bankasina - Haziran 2022</t>
  </si>
  <si>
    <t>GOP - Emre Barut - Can'a elden odeme (9000) - Haziran 2022</t>
  </si>
  <si>
    <t>GOP - Murat Bayram - Can'in bankasina - Haziran 2022</t>
  </si>
  <si>
    <t>GOP - Murat Bayram - Selim'e Elden odeme (11000) - Haziran 2022</t>
  </si>
  <si>
    <t>GOP - Emre Barut - Can'in bankasina - Temmuz 2022</t>
  </si>
  <si>
    <t>GOP - Emre Barut - Can'a elden odeme (9000) - Temmuz 2022</t>
  </si>
  <si>
    <t>GOP - Murat Bayram - Can'in bankasina - Temmuz 2022</t>
  </si>
  <si>
    <t>GOP - Murat Bayram - Selim'e Elden odeme (11000) - Temmuz 2022</t>
  </si>
  <si>
    <t>GOP - Emre Barut - Can'in bankasina - Agustos 2022</t>
  </si>
  <si>
    <t>GOP - Emre Barut - Can'a elden odeme (9000) - Agustos 2022</t>
  </si>
  <si>
    <t>Hesaplar sifirlandi. Selim elden 100 USD verdi.</t>
  </si>
  <si>
    <t>GOP - Murat Bayram - Can'in bankasina - Agustos 2022</t>
  </si>
  <si>
    <t>GOP - Murat Bayram - Selim'e Elden odeme (11000) - Agustos 2022</t>
  </si>
  <si>
    <t>GOP - Emre Barut - Can'in bankasina - Eylul 2022</t>
  </si>
  <si>
    <t>GOP - Emre Barut - Can'a elden odeme (9000) - Eylul 2022</t>
  </si>
  <si>
    <t>GOP - RED NIRVANA Selim 1 ay depozit + 2 ay pesin (153K) - 100K'si odendi</t>
  </si>
  <si>
    <t>GOP - RED NIRVANA Selim 1 ay depozit + 2 ay pesin (153K) - 53K'si odendi</t>
  </si>
  <si>
    <t>Hesaplar sifirlandi. Selim 46350 Gonderdi</t>
  </si>
  <si>
    <t>GOP - Murat Bayram - Can'in bankasina - Eylul 2022</t>
  </si>
  <si>
    <t>GOP - Murat Bayram - Selim'e Elden odeme (11000) - Eylul 2022</t>
  </si>
  <si>
    <t>GOP - Emre Barut - Can'in bankasina - Ekim 2022 - 4400</t>
  </si>
  <si>
    <t>EaseUS Data Recovery Program ucreti</t>
  </si>
  <si>
    <t>GOP - Emre Barut - Selim'e elden odeme (19600) - Ekim 2022</t>
  </si>
  <si>
    <t>GOP - Emre Barut - Can'in bankasina - Kasim 2022 - 4400</t>
  </si>
  <si>
    <t>GOP - Murat Bayram - Can'in bankasina - Ekim 2022</t>
  </si>
  <si>
    <t>GOP - Emre Barut - Can'a elden odeme (19600) - Kasim 2022</t>
  </si>
  <si>
    <t>GOP - Murat Bayram - Can'a Elden odeme (11000) - Ekim 2022</t>
  </si>
  <si>
    <t>GOP - Red NIRVANA Selim'e elden odeme - Aralik 2022</t>
  </si>
  <si>
    <t>GOP - Murat Bayram - Can'in bankasina - Kasim 2022</t>
  </si>
  <si>
    <t>GOP - Emre Barut - Can'in bankasina - Aralik 2022 - 4400</t>
  </si>
  <si>
    <t>GOP - Emre Barut - Can'a elden odeme (19600) - Aralik 2022</t>
  </si>
  <si>
    <t>GOP - Murat Bayram - Can'in bankasina - Aralik 2022</t>
  </si>
  <si>
    <t>GOP - Murat Bayram - Selim'e Elden odeme (58000) - Ekim, Kasim eksik kisim + Aralik 2022</t>
  </si>
  <si>
    <t>GOP - Red NIRVANA Selim'e elden odeme - Ocak 2023</t>
  </si>
  <si>
    <t>GOP - Emre Barut - Can'in bankasina - Ocak 2023 - 4400</t>
  </si>
  <si>
    <t>GOP - Emre Barut - Can'a elden odeme (19600) - Ocak 2023</t>
  </si>
  <si>
    <t>GOP - Murat Bayram - Can'in bankasina - Ocak 2023</t>
  </si>
  <si>
    <t>GOP - Murat Bayram - Selim'e Elden odeme Ocak 2023</t>
  </si>
  <si>
    <t xml:space="preserve">Hesaplar sifirlandi. Can Selim'e  8831 TL gonderdi </t>
  </si>
  <si>
    <t>GOP - Red NIRVANA Selim'e elden odeme - Subat 2023</t>
  </si>
  <si>
    <t>GOP - Emre Barut - Can'in bankasina - Subat 2023 - 4400</t>
  </si>
  <si>
    <t>GOP - Emre Barut - Can'a elden odeme (19600) - Subat 2023</t>
  </si>
  <si>
    <t>GOP - Murat Bayram - Can'in bankasina - Subat 2023</t>
  </si>
  <si>
    <t>GOP - Murat Bayram - Selim'e Elden odeme Subat 2023</t>
  </si>
  <si>
    <t>GOP - Red NIRVANA Selim'e elden odeme - Mart 2023</t>
  </si>
  <si>
    <t>GOP - Emre Barut - Can'in bankasina - Mart 2023 - 4400</t>
  </si>
  <si>
    <t>GOP - Emre Barut - Can'a elden odeme (19600) - Mart 2023</t>
  </si>
  <si>
    <t>GOP - Murat Bayram - Can'in bankasina - Mart 2023</t>
  </si>
  <si>
    <t>GOP - Murat Bayram - Selim'e Elden odeme Mart 2023</t>
  </si>
  <si>
    <t>GOP - Red NIRVANA Selim'e elden odeme - Nisan 2023</t>
  </si>
  <si>
    <t>GOP - Emre Barut - Can'in bankasina - Nisan 2023 - 4400</t>
  </si>
  <si>
    <t>GOP - Emre Barut - Can'a elden odeme (19600) - Nisan 2023</t>
  </si>
  <si>
    <t>GOP - Murat Bayram - Can'in bankasina - Nisan 2023</t>
  </si>
  <si>
    <t>GOP - Murat Bayram - Selim'e Elden odeme Nisan 2023</t>
  </si>
  <si>
    <t>GOP - Red NIRVANA Selim'e elden odeme - Mayis 2023</t>
  </si>
  <si>
    <t>GOP - Emre Barut - Can'in bankasina - Mayis 2023 - 4400</t>
  </si>
  <si>
    <t>GOP - Emre Barut - Can'a elden odeme (19600) - Mayis 2023</t>
  </si>
  <si>
    <t>GOP - Murat Bayram - Can'in bankasina - Mayis 2023</t>
  </si>
  <si>
    <t>GOP - Murat Bayram - Selim'e Elden odeme Mayis 2023</t>
  </si>
  <si>
    <t>GOP - Red NIRVANA Selim'e elden odeme - Haziran 2023</t>
  </si>
  <si>
    <t>GOP - Emre Barut - Can'in bankasina - Haziran 2023 - 4400</t>
  </si>
  <si>
    <t>GOP - Emre Barut - Can'a elden odeme (19600) - Haziran 2023</t>
  </si>
  <si>
    <t>GOP - Murat Bayram - Can'in bankasina - Haziran 2023</t>
  </si>
  <si>
    <t>GOP - Murat Bayram - Selim'e Elden odeme Haziran 2023</t>
  </si>
  <si>
    <t>GOP - Red NIRVANA Selim'e elden odeme - Temmuz 2023</t>
  </si>
  <si>
    <t>GOP - Emre Barut - Can'in bankasina - Temmuz 2023 - 4400</t>
  </si>
  <si>
    <t>GOP - Emre Barut - Can'a elden odeme (19600) - Temmuz 2023</t>
  </si>
  <si>
    <t>Elden</t>
  </si>
  <si>
    <t>GOP - Emre Barut - Selim'e elden odeme $1550'nin farki</t>
  </si>
  <si>
    <t>GOP - Murat Bayram - Ekim ayi eksigi ve Kasim, Aralik, Ocak aylarinin odemesi yapildi</t>
  </si>
  <si>
    <t>Selim'e elden odeme - Ekim ayi farki, Kasim, Aralik, Ocak</t>
  </si>
  <si>
    <t>Eksik odeme yapilmis onceki ay</t>
  </si>
  <si>
    <t>Odeme yapilmadi</t>
  </si>
  <si>
    <t>GOP - Murat Bayram - 29/01'de odeme yapildi</t>
  </si>
  <si>
    <t>Selim'in Yelken odemesi yapildi - 1200 EUR</t>
  </si>
  <si>
    <t>GOP - Emre Barut - Banka</t>
  </si>
  <si>
    <t>GOP - Emre Barut - Elden Odeme</t>
  </si>
  <si>
    <t>Bankadan odeme yapilmadi</t>
  </si>
  <si>
    <t>Artis Aralik ayindan itibaren basladi</t>
  </si>
  <si>
    <t>GOP - Emre Barut - Selim'e elden odeme $1550'nin farki - Artis Aralik'ta basladi</t>
  </si>
  <si>
    <t>GOP - Murat Bayram - 08/04'te odeme yapildi</t>
  </si>
  <si>
    <t>GOP - Murat Bayram - Subat + Mart 2025 kirasi</t>
  </si>
  <si>
    <t>Gec odeme yapildi - 08/04/2025</t>
  </si>
  <si>
    <t>GOP - Murat Bayram</t>
  </si>
  <si>
    <t>Can Selim'den 4160 USD karsiligi 3000 EUR aldi.</t>
  </si>
  <si>
    <t>Selim'in EUROBOND Odemesi - 6375 USD</t>
  </si>
  <si>
    <t>Merter Hesaplar sifirlandi - Can 14600 USD + 75 TL alacakli</t>
  </si>
  <si>
    <t>GOP Hesaplar Sifirlandi - Can'a 2644 USD odeme yapildi.</t>
  </si>
  <si>
    <t>Merter Hesaplar: Can 14600 USD + 75K TL alacakli</t>
  </si>
  <si>
    <t>Can'in SGK odemesi - Haziran 2025 (onceki aylar odenmisti) - Selim'e 8516 TL odenecek</t>
  </si>
  <si>
    <t>Can'in SGK odemesi - Haziran 2025 odendi</t>
  </si>
  <si>
    <t>Hangi hesaplasmaya dahil edildi?</t>
  </si>
  <si>
    <t>23/06/2025 - Hesaplasmaya dahil</t>
  </si>
  <si>
    <t>15/01/2025 - Hesaplasmaya dahil</t>
  </si>
  <si>
    <t>GOP - Murat Bayram - 25/06/2025'te odeme yapildi</t>
  </si>
  <si>
    <t>Selim'e elden Subat ve Mart aylari odemesi yapildi</t>
  </si>
  <si>
    <t>Selim'e elden Nisan, Mayis, Haziran aylari odemesi yapildi</t>
  </si>
  <si>
    <t>27/06/2025 - Ayrica Selim'e odeme yapildi.</t>
  </si>
  <si>
    <t xml:space="preserve">Emre Barut'un 7000 TL odemesinin %65'I Selim'e gonderildi. - (20/06/2025'teki ikinci 7000 TL'nin odemesi) </t>
  </si>
  <si>
    <t>GOP - Emre Barut - Elden Odeme - 25/06/2025'te odeme yapildi</t>
  </si>
  <si>
    <t>GOP - Emre Barut - Elden Odeme - Nisan - Mayis</t>
  </si>
  <si>
    <t>27/06/2025 - Hesaplasmaya dahil. Ayrica Selim'e odeme yapildi.</t>
  </si>
  <si>
    <t>Selim'e elden Temmuz, Agustos, Eylul aylari odemesi yapildi</t>
  </si>
  <si>
    <t>GOP - Murat Bayram - 15/10/2025'te odeme yapildi</t>
  </si>
  <si>
    <t>Kira artisi 1 ay ertelendi. Kasim 2025'ten itibaren 3740 oldu</t>
  </si>
  <si>
    <t>Kiracinin odedigi tadilat</t>
  </si>
  <si>
    <t>Kira artisi 1 ay ertelendi. Kasim'dan itibaren 3400 oldu</t>
  </si>
  <si>
    <t>4600 TL - Kanalizasyon tamiri icin dukkkanin payina dusen rakam</t>
  </si>
  <si>
    <t>GOP - Red NIRVANA - Selim'e Elden Odeme - 3740 USD-30000</t>
  </si>
  <si>
    <t>GOP - Emre Barut - Elden Odeme - 19/12/2025'te odeme yapildi</t>
  </si>
  <si>
    <t>Selim'e elden Ekim, Kasim, Aralik ayi odemeleri yapildi. Eksik var.</t>
  </si>
  <si>
    <t>GOP - Murat Bayram - 30/12/25'te odeme yapildi.</t>
  </si>
  <si>
    <t>GOP - Red NIRVANA</t>
  </si>
  <si>
    <t>Selim'in UAE'deki parasi</t>
  </si>
  <si>
    <t>Selim'in Can'a borcu</t>
  </si>
  <si>
    <t>Selim'in Akbank'a gonderdigi</t>
  </si>
  <si>
    <t>GOP Hesaplar Sifirlandi - Can'a 63970 USD odeme yapilacak 12/01/2026'da</t>
  </si>
  <si>
    <t xml:space="preserve"> 08/01/2026 - Hesaplasmaya dahil </t>
  </si>
  <si>
    <t>UAE'de tutmak istedigi rakam</t>
  </si>
  <si>
    <t>Maas odemesi (Can'in borcu)</t>
  </si>
  <si>
    <t>Sigorta odemesi (Can'in borcu)</t>
  </si>
  <si>
    <t>Maas + Sigorta</t>
  </si>
  <si>
    <t>Is Bankasi'ndaki tutarin bu kismi Can'a ait</t>
  </si>
  <si>
    <t>Kredi karti odemesi yapildi</t>
  </si>
  <si>
    <t>KK - USD</t>
  </si>
  <si>
    <t>KK - EUR</t>
  </si>
  <si>
    <t>Hesaptaki rakam</t>
  </si>
  <si>
    <t>Bir sonraki hesaplamaya dahil edilecek.</t>
  </si>
  <si>
    <t>Can'in Maas + SGK Odemesi</t>
  </si>
  <si>
    <t>Maas+SGK</t>
  </si>
  <si>
    <t>Selim Can'a nakit verdi - 1000 TL</t>
  </si>
  <si>
    <t xml:space="preserve">Sisecam bond alimi (Toplam Alis maliyeti) </t>
  </si>
  <si>
    <t>Can'in Maas + SGK Odemesi - Ocak 2026</t>
  </si>
  <si>
    <t>Selim'e elden Ocak, Subat ve onceki eksik odeme yapildi.</t>
  </si>
  <si>
    <t>GOP - Murat Bayram - 06/03/2026'da odendi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</si>
</sst>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₺&quot;* #,##0.00_);_(&quot;₺&quot;* \(#,##0.00\);_(&quot;₺&quot;* &quot;-&quot;??_);_(@_)"/>
    <numFmt numFmtId="43" formatCode="_(* #,##0.00_);_(* \(#,##0.00\);_(* &quot;-&quot;??_);_(@_)"/>
    <numFmt numFmtId="164" formatCode="_(&quot;TRY&quot;* #,##0.00_);_(&quot;TRY&quot;* \(#,##0.00\);_(&quot;TRY&quot;* &quot;-&quot;??_);_(@_)"/>
    <numFmt numFmtId="165" formatCode="_([$TRY]\ * #,##0.00_);_([$TRY]\ * \(#,##0.00\);_([$TRY]\ * &quot;-&quot;??_);_(@_)"/>
    <numFmt numFmtId="166" formatCode="dd/mm/yyyy"/>
    <numFmt numFmtId="167" formatCode="_([$$-409]* #,##0.00_);_([$$-409]* \(#,##0.00\);_([$$-409]* &quot;-&quot;??_);_(@_)"/>
    <numFmt numFmtId="168" formatCode="_(* #,##0_);_(* \(#,##0\);_(* &quot;-&quot;??_);_(@_)"/>
    <numFmt numFmtId="169" formatCode="_(* #,##0.0000_);_(* \(#,##0.0000\);_(* &quot;-&quot;??_);_(@_)"/>
  </numFmts>
  <fonts count="2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00610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charset val="162"/>
      <scheme val="minor"/>
    </font>
    <font>
      <b/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9C57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 (Body)"/>
    </font>
    <font>
      <i/>
      <sz val="12"/>
      <color rgb="FF9C5700"/>
      <name val="Calibri"/>
      <family val="2"/>
      <scheme val="minor"/>
    </font>
    <font>
      <sz val="12"/>
      <color rgb="FF9C6500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theme="4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  <bgColor theme="4"/>
      </patternFill>
    </fill>
    <fill>
      <patternFill patternType="solid">
        <fgColor theme="7" tint="0.39997558519241921"/>
        <bgColor indexed="65"/>
      </patternFill>
    </fill>
    <fill>
      <patternFill patternType="solid">
        <fgColor rgb="FFC6EFCE"/>
        <bgColor rgb="FF000000"/>
      </patternFill>
    </fill>
    <fill>
      <patternFill patternType="solid">
        <fgColor theme="7" tint="0.39997558519241921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39997558519241921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EB9C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2F2F2"/>
      </patternFill>
    </fill>
  </fills>
  <borders count="8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ouble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8EA9DB"/>
      </left>
      <right/>
      <top style="thin">
        <color rgb="FF8EA9DB"/>
      </top>
      <bottom style="thin">
        <color rgb="FF8EA9DB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rgb="FF8EA9DB"/>
      </top>
      <bottom style="thin">
        <color rgb="FF8EA9DB"/>
      </bottom>
      <diagonal/>
    </border>
    <border>
      <left style="thin">
        <color rgb="FF7F7F7F"/>
      </left>
      <right/>
      <top/>
      <bottom/>
      <diagonal/>
    </border>
    <border>
      <left style="thin">
        <color rgb="FF8EA9DB"/>
      </left>
      <right/>
      <top style="thin">
        <color rgb="FF8EA9DB"/>
      </top>
      <bottom/>
      <diagonal/>
    </border>
    <border>
      <left style="thin">
        <color rgb="FF8EA9DB"/>
      </left>
      <right/>
      <top style="thin">
        <color indexed="64"/>
      </top>
      <bottom style="thin">
        <color rgb="FF8EA9DB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8EA9DB"/>
      </top>
      <bottom/>
      <diagonal/>
    </border>
    <border>
      <left/>
      <right/>
      <top style="thin">
        <color rgb="FF8EA9DB"/>
      </top>
      <bottom style="double">
        <color indexed="64"/>
      </bottom>
      <diagonal/>
    </border>
    <border>
      <left style="thin">
        <color rgb="FF8EA9DB"/>
      </left>
      <right/>
      <top/>
      <bottom style="thin">
        <color rgb="FF8EA9DB"/>
      </bottom>
      <diagonal/>
    </border>
    <border>
      <left style="thin">
        <color rgb="FF8EA9DB"/>
      </left>
      <right/>
      <top style="thin">
        <color rgb="FF8EA9DB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8EA9DB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rgb="FFFF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8EA9DB"/>
      </left>
      <right/>
      <top/>
      <bottom style="double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thin">
        <color theme="4" tint="0.39997558519241921"/>
      </top>
      <bottom style="thin">
        <color indexed="64"/>
      </bottom>
      <diagonal/>
    </border>
    <border>
      <left/>
      <right/>
      <top style="thin">
        <color rgb="FF95B3D7"/>
      </top>
      <bottom style="thin">
        <color rgb="FF95B3D7"/>
      </bottom>
      <diagonal/>
    </border>
    <border>
      <left/>
      <right/>
      <top/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7F7F7F"/>
      </right>
      <top style="medium">
        <color indexed="64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medium">
        <color indexed="64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medium">
        <color indexed="64"/>
      </right>
      <top/>
      <bottom style="thin">
        <color rgb="FF7F7F7F"/>
      </bottom>
      <diagonal/>
    </border>
    <border>
      <left style="thin">
        <color rgb="FF7F7F7F"/>
      </left>
      <right/>
      <top style="medium">
        <color indexed="64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medium">
        <color indexed="64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7F7F7F"/>
      </bottom>
      <diagonal/>
    </border>
    <border>
      <left/>
      <right style="medium">
        <color indexed="64"/>
      </right>
      <top/>
      <bottom style="thin">
        <color rgb="FF7F7F7F"/>
      </bottom>
      <diagonal/>
    </border>
    <border>
      <left/>
      <right style="medium">
        <color indexed="64"/>
      </right>
      <top style="thin">
        <color rgb="FF7F7F7F"/>
      </top>
      <bottom style="thin">
        <color rgb="FF7F7F7F"/>
      </bottom>
      <diagonal/>
    </border>
    <border>
      <left/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thin">
        <color rgb="FF7F7F7F"/>
      </left>
      <right/>
      <top/>
      <bottom style="thin">
        <color rgb="FF7F7F7F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thin">
        <color rgb="FF7F7F7F"/>
      </top>
      <bottom style="medium">
        <color indexed="64"/>
      </bottom>
      <diagonal/>
    </border>
  </borders>
  <cellStyleXfs count="11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5" fillId="4" borderId="0" applyNumberFormat="0" applyBorder="0" applyAlignment="0" applyProtection="0"/>
    <xf numFmtId="0" fontId="10" fillId="6" borderId="0" applyNumberFormat="0" applyBorder="0" applyAlignment="0" applyProtection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0" fillId="12" borderId="0" applyNumberFormat="0" applyBorder="0" applyAlignment="0" applyProtection="0"/>
    <xf numFmtId="0" fontId="21" fillId="17" borderId="56" applyNumberFormat="0" applyAlignment="0" applyProtection="0"/>
  </cellStyleXfs>
  <cellXfs count="591">
    <xf numFmtId="0" fontId="0" fillId="0" borderId="0" xfId="0"/>
    <xf numFmtId="0" fontId="1" fillId="0" borderId="0" xfId="0" applyFont="1"/>
    <xf numFmtId="0" fontId="3" fillId="2" borderId="0" xfId="2"/>
    <xf numFmtId="164" fontId="3" fillId="2" borderId="0" xfId="2" applyNumberFormat="1"/>
    <xf numFmtId="0" fontId="5" fillId="4" borderId="0" xfId="4"/>
    <xf numFmtId="165" fontId="3" fillId="2" borderId="0" xfId="2" applyNumberFormat="1"/>
    <xf numFmtId="165" fontId="3" fillId="2" borderId="2" xfId="2" applyNumberFormat="1" applyBorder="1"/>
    <xf numFmtId="165" fontId="3" fillId="2" borderId="0" xfId="2" applyNumberFormat="1" applyBorder="1"/>
    <xf numFmtId="17" fontId="3" fillId="2" borderId="0" xfId="2" applyNumberFormat="1"/>
    <xf numFmtId="17" fontId="3" fillId="2" borderId="0" xfId="2" applyNumberFormat="1" applyBorder="1"/>
    <xf numFmtId="0" fontId="3" fillId="2" borderId="2" xfId="2" applyBorder="1"/>
    <xf numFmtId="165" fontId="5" fillId="4" borderId="0" xfId="4" applyNumberFormat="1" applyBorder="1"/>
    <xf numFmtId="0" fontId="3" fillId="2" borderId="0" xfId="2" applyBorder="1"/>
    <xf numFmtId="164" fontId="3" fillId="2" borderId="0" xfId="2" applyNumberFormat="1" applyBorder="1"/>
    <xf numFmtId="0" fontId="6" fillId="5" borderId="3" xfId="0" applyFont="1" applyFill="1" applyBorder="1"/>
    <xf numFmtId="0" fontId="7" fillId="2" borderId="0" xfId="2" applyFont="1"/>
    <xf numFmtId="0" fontId="5" fillId="0" borderId="0" xfId="4" applyFill="1"/>
    <xf numFmtId="17" fontId="5" fillId="4" borderId="0" xfId="4" applyNumberFormat="1" applyBorder="1"/>
    <xf numFmtId="0" fontId="5" fillId="4" borderId="0" xfId="4" applyBorder="1"/>
    <xf numFmtId="0" fontId="6" fillId="0" borderId="0" xfId="0" applyFont="1"/>
    <xf numFmtId="0" fontId="3" fillId="2" borderId="0" xfId="2" applyBorder="1" applyAlignment="1">
      <alignment wrapText="1"/>
    </xf>
    <xf numFmtId="0" fontId="5" fillId="4" borderId="0" xfId="4" applyNumberFormat="1" applyBorder="1"/>
    <xf numFmtId="0" fontId="3" fillId="2" borderId="0" xfId="2" applyNumberFormat="1"/>
    <xf numFmtId="0" fontId="3" fillId="2" borderId="4" xfId="2" applyBorder="1"/>
    <xf numFmtId="0" fontId="8" fillId="0" borderId="0" xfId="0" applyFont="1"/>
    <xf numFmtId="0" fontId="3" fillId="2" borderId="5" xfId="2" applyNumberFormat="1" applyBorder="1"/>
    <xf numFmtId="17" fontId="3" fillId="2" borderId="11" xfId="2" applyNumberFormat="1" applyBorder="1"/>
    <xf numFmtId="165" fontId="3" fillId="2" borderId="11" xfId="2" applyNumberFormat="1" applyBorder="1"/>
    <xf numFmtId="0" fontId="3" fillId="2" borderId="11" xfId="2" applyBorder="1"/>
    <xf numFmtId="164" fontId="3" fillId="2" borderId="6" xfId="2" applyNumberFormat="1" applyBorder="1"/>
    <xf numFmtId="0" fontId="3" fillId="2" borderId="7" xfId="2" applyNumberFormat="1" applyBorder="1"/>
    <xf numFmtId="164" fontId="3" fillId="2" borderId="8" xfId="2" applyNumberFormat="1" applyBorder="1"/>
    <xf numFmtId="0" fontId="3" fillId="2" borderId="9" xfId="2" applyNumberFormat="1" applyBorder="1"/>
    <xf numFmtId="17" fontId="3" fillId="2" borderId="2" xfId="2" applyNumberFormat="1" applyBorder="1"/>
    <xf numFmtId="164" fontId="3" fillId="2" borderId="10" xfId="2" applyNumberFormat="1" applyBorder="1"/>
    <xf numFmtId="0" fontId="2" fillId="4" borderId="1" xfId="1" applyFill="1"/>
    <xf numFmtId="0" fontId="2" fillId="0" borderId="1" xfId="1"/>
    <xf numFmtId="0" fontId="3" fillId="2" borderId="0" xfId="2" applyNumberFormat="1" applyBorder="1"/>
    <xf numFmtId="164" fontId="5" fillId="4" borderId="0" xfId="4" applyNumberFormat="1"/>
    <xf numFmtId="0" fontId="4" fillId="3" borderId="0" xfId="3" applyNumberFormat="1"/>
    <xf numFmtId="17" fontId="4" fillId="3" borderId="0" xfId="3" applyNumberFormat="1" applyBorder="1"/>
    <xf numFmtId="0" fontId="4" fillId="3" borderId="0" xfId="3"/>
    <xf numFmtId="0" fontId="10" fillId="6" borderId="0" xfId="5" applyNumberFormat="1"/>
    <xf numFmtId="17" fontId="10" fillId="6" borderId="0" xfId="5" applyNumberFormat="1" applyBorder="1"/>
    <xf numFmtId="164" fontId="10" fillId="6" borderId="0" xfId="5" applyNumberFormat="1"/>
    <xf numFmtId="0" fontId="10" fillId="6" borderId="0" xfId="5"/>
    <xf numFmtId="165" fontId="5" fillId="4" borderId="0" xfId="4" applyNumberFormat="1"/>
    <xf numFmtId="164" fontId="5" fillId="4" borderId="0" xfId="4" applyNumberFormat="1" applyBorder="1"/>
    <xf numFmtId="0" fontId="3" fillId="7" borderId="12" xfId="0" applyFont="1" applyFill="1" applyBorder="1"/>
    <xf numFmtId="0" fontId="12" fillId="0" borderId="0" xfId="0" applyFont="1"/>
    <xf numFmtId="164" fontId="12" fillId="0" borderId="0" xfId="0" applyNumberFormat="1" applyFont="1"/>
    <xf numFmtId="164" fontId="13" fillId="0" borderId="0" xfId="0" applyNumberFormat="1" applyFont="1"/>
    <xf numFmtId="165" fontId="4" fillId="3" borderId="0" xfId="3" applyNumberFormat="1"/>
    <xf numFmtId="164" fontId="4" fillId="3" borderId="0" xfId="3" applyNumberFormat="1" applyBorder="1"/>
    <xf numFmtId="0" fontId="3" fillId="2" borderId="14" xfId="2" applyBorder="1"/>
    <xf numFmtId="0" fontId="3" fillId="2" borderId="15" xfId="2" applyBorder="1"/>
    <xf numFmtId="17" fontId="3" fillId="2" borderId="16" xfId="2" applyNumberFormat="1" applyBorder="1"/>
    <xf numFmtId="165" fontId="3" fillId="2" borderId="16" xfId="2" applyNumberFormat="1" applyBorder="1"/>
    <xf numFmtId="0" fontId="3" fillId="2" borderId="16" xfId="2" applyBorder="1"/>
    <xf numFmtId="164" fontId="3" fillId="2" borderId="16" xfId="2" applyNumberFormat="1" applyBorder="1"/>
    <xf numFmtId="164" fontId="3" fillId="2" borderId="12" xfId="2" applyNumberFormat="1" applyBorder="1"/>
    <xf numFmtId="0" fontId="3" fillId="2" borderId="0" xfId="2" applyAlignment="1">
      <alignment wrapText="1"/>
    </xf>
    <xf numFmtId="0" fontId="3" fillId="2" borderId="12" xfId="2" applyBorder="1"/>
    <xf numFmtId="0" fontId="14" fillId="10" borderId="12" xfId="0" applyFont="1" applyFill="1" applyBorder="1"/>
    <xf numFmtId="0" fontId="4" fillId="3" borderId="0" xfId="3" applyBorder="1"/>
    <xf numFmtId="0" fontId="3" fillId="2" borderId="2" xfId="2" applyNumberFormat="1" applyBorder="1"/>
    <xf numFmtId="164" fontId="3" fillId="2" borderId="2" xfId="2" applyNumberFormat="1" applyBorder="1"/>
    <xf numFmtId="0" fontId="3" fillId="2" borderId="18" xfId="2" applyBorder="1"/>
    <xf numFmtId="0" fontId="3" fillId="2" borderId="19" xfId="2" applyBorder="1"/>
    <xf numFmtId="0" fontId="3" fillId="2" borderId="20" xfId="2" applyBorder="1"/>
    <xf numFmtId="0" fontId="5" fillId="8" borderId="0" xfId="4" applyNumberFormat="1" applyFill="1"/>
    <xf numFmtId="0" fontId="5" fillId="9" borderId="0" xfId="4" applyFill="1"/>
    <xf numFmtId="165" fontId="5" fillId="9" borderId="0" xfId="4" applyNumberFormat="1" applyFill="1"/>
    <xf numFmtId="0" fontId="3" fillId="8" borderId="0" xfId="2" applyFill="1"/>
    <xf numFmtId="164" fontId="3" fillId="6" borderId="0" xfId="2" applyNumberFormat="1" applyFill="1" applyBorder="1"/>
    <xf numFmtId="164" fontId="3" fillId="6" borderId="0" xfId="2" applyNumberFormat="1" applyFill="1"/>
    <xf numFmtId="164" fontId="3" fillId="2" borderId="17" xfId="2" applyNumberFormat="1" applyBorder="1"/>
    <xf numFmtId="17" fontId="7" fillId="2" borderId="13" xfId="2" applyNumberFormat="1" applyFont="1" applyBorder="1" applyAlignment="1">
      <alignment horizontal="center"/>
    </xf>
    <xf numFmtId="0" fontId="3" fillId="2" borderId="2" xfId="2" applyBorder="1" applyAlignment="1">
      <alignment wrapText="1"/>
    </xf>
    <xf numFmtId="166" fontId="3" fillId="2" borderId="0" xfId="2" applyNumberFormat="1"/>
    <xf numFmtId="166" fontId="10" fillId="6" borderId="0" xfId="5" applyNumberFormat="1"/>
    <xf numFmtId="166" fontId="4" fillId="3" borderId="0" xfId="3" applyNumberFormat="1"/>
    <xf numFmtId="166" fontId="3" fillId="2" borderId="2" xfId="2" applyNumberFormat="1" applyBorder="1"/>
    <xf numFmtId="166" fontId="2" fillId="4" borderId="1" xfId="1" applyNumberFormat="1" applyFill="1"/>
    <xf numFmtId="166" fontId="1" fillId="0" borderId="0" xfId="0" applyNumberFormat="1" applyFont="1"/>
    <xf numFmtId="166" fontId="0" fillId="0" borderId="0" xfId="0" applyNumberFormat="1"/>
    <xf numFmtId="166" fontId="3" fillId="2" borderId="11" xfId="2" applyNumberFormat="1" applyBorder="1"/>
    <xf numFmtId="166" fontId="3" fillId="2" borderId="0" xfId="2" applyNumberFormat="1" applyBorder="1"/>
    <xf numFmtId="166" fontId="5" fillId="4" borderId="0" xfId="4" applyNumberFormat="1" applyBorder="1"/>
    <xf numFmtId="166" fontId="5" fillId="4" borderId="0" xfId="4" applyNumberFormat="1"/>
    <xf numFmtId="166" fontId="3" fillId="8" borderId="0" xfId="2" applyNumberFormat="1" applyFill="1"/>
    <xf numFmtId="166" fontId="7" fillId="2" borderId="0" xfId="2" applyNumberFormat="1" applyFont="1"/>
    <xf numFmtId="166" fontId="6" fillId="0" borderId="0" xfId="0" applyNumberFormat="1" applyFont="1"/>
    <xf numFmtId="166" fontId="3" fillId="2" borderId="16" xfId="2" applyNumberFormat="1" applyBorder="1"/>
    <xf numFmtId="166" fontId="12" fillId="0" borderId="0" xfId="0" applyNumberFormat="1" applyFont="1"/>
    <xf numFmtId="43" fontId="12" fillId="0" borderId="0" xfId="0" applyNumberFormat="1" applyFont="1"/>
    <xf numFmtId="166" fontId="3" fillId="2" borderId="23" xfId="2" applyNumberFormat="1" applyBorder="1"/>
    <xf numFmtId="0" fontId="3" fillId="2" borderId="24" xfId="2" applyBorder="1"/>
    <xf numFmtId="164" fontId="3" fillId="2" borderId="24" xfId="2" applyNumberFormat="1" applyBorder="1"/>
    <xf numFmtId="166" fontId="3" fillId="2" borderId="26" xfId="2" applyNumberFormat="1" applyBorder="1"/>
    <xf numFmtId="166" fontId="3" fillId="2" borderId="28" xfId="2" applyNumberFormat="1" applyBorder="1"/>
    <xf numFmtId="0" fontId="3" fillId="2" borderId="29" xfId="2" applyBorder="1"/>
    <xf numFmtId="164" fontId="3" fillId="2" borderId="29" xfId="2" applyNumberFormat="1" applyBorder="1"/>
    <xf numFmtId="165" fontId="3" fillId="2" borderId="31" xfId="2" applyNumberFormat="1" applyBorder="1"/>
    <xf numFmtId="0" fontId="3" fillId="2" borderId="31" xfId="2" applyBorder="1"/>
    <xf numFmtId="164" fontId="3" fillId="2" borderId="31" xfId="2" applyNumberFormat="1" applyBorder="1"/>
    <xf numFmtId="0" fontId="3" fillId="2" borderId="31" xfId="2" applyNumberFormat="1" applyBorder="1"/>
    <xf numFmtId="166" fontId="3" fillId="2" borderId="31" xfId="2" applyNumberFormat="1" applyBorder="1"/>
    <xf numFmtId="10" fontId="0" fillId="0" borderId="0" xfId="6" applyNumberFormat="1" applyFont="1"/>
    <xf numFmtId="44" fontId="0" fillId="0" borderId="0" xfId="0" applyNumberFormat="1"/>
    <xf numFmtId="167" fontId="0" fillId="0" borderId="0" xfId="0" applyNumberFormat="1"/>
    <xf numFmtId="167" fontId="12" fillId="0" borderId="0" xfId="0" applyNumberFormat="1" applyFont="1"/>
    <xf numFmtId="167" fontId="5" fillId="4" borderId="0" xfId="4" applyNumberFormat="1"/>
    <xf numFmtId="167" fontId="13" fillId="0" borderId="0" xfId="0" applyNumberFormat="1" applyFont="1"/>
    <xf numFmtId="0" fontId="0" fillId="0" borderId="0" xfId="0" applyAlignment="1">
      <alignment horizontal="center"/>
    </xf>
    <xf numFmtId="166" fontId="13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167" fontId="13" fillId="0" borderId="0" xfId="0" applyNumberFormat="1" applyFont="1" applyAlignment="1">
      <alignment horizontal="center" vertical="center" wrapText="1"/>
    </xf>
    <xf numFmtId="166" fontId="12" fillId="0" borderId="2" xfId="0" applyNumberFormat="1" applyFont="1" applyBorder="1"/>
    <xf numFmtId="0" fontId="12" fillId="0" borderId="2" xfId="0" applyFont="1" applyBorder="1"/>
    <xf numFmtId="164" fontId="12" fillId="0" borderId="2" xfId="0" applyNumberFormat="1" applyFont="1" applyBorder="1"/>
    <xf numFmtId="167" fontId="3" fillId="2" borderId="0" xfId="2" applyNumberFormat="1" applyBorder="1"/>
    <xf numFmtId="0" fontId="3" fillId="2" borderId="22" xfId="2" applyBorder="1"/>
    <xf numFmtId="9" fontId="0" fillId="0" borderId="0" xfId="6" applyFont="1"/>
    <xf numFmtId="44" fontId="0" fillId="0" borderId="0" xfId="8" applyFont="1"/>
    <xf numFmtId="43" fontId="0" fillId="0" borderId="0" xfId="7" applyFont="1"/>
    <xf numFmtId="14" fontId="3" fillId="2" borderId="0" xfId="2" applyNumberFormat="1"/>
    <xf numFmtId="14" fontId="4" fillId="3" borderId="0" xfId="3" applyNumberFormat="1"/>
    <xf numFmtId="167" fontId="3" fillId="2" borderId="0" xfId="2" applyNumberFormat="1"/>
    <xf numFmtId="167" fontId="3" fillId="2" borderId="27" xfId="2" applyNumberFormat="1" applyBorder="1"/>
    <xf numFmtId="167" fontId="3" fillId="2" borderId="12" xfId="2" applyNumberFormat="1" applyBorder="1"/>
    <xf numFmtId="167" fontId="3" fillId="2" borderId="17" xfId="2" applyNumberFormat="1" applyBorder="1"/>
    <xf numFmtId="0" fontId="0" fillId="0" borderId="0" xfId="0" applyAlignment="1">
      <alignment horizontal="center" vertical="center" textRotation="90"/>
    </xf>
    <xf numFmtId="166" fontId="4" fillId="3" borderId="0" xfId="3" applyNumberFormat="1" applyBorder="1"/>
    <xf numFmtId="167" fontId="3" fillId="2" borderId="24" xfId="2" applyNumberFormat="1" applyBorder="1"/>
    <xf numFmtId="167" fontId="3" fillId="2" borderId="25" xfId="2" applyNumberFormat="1" applyBorder="1"/>
    <xf numFmtId="167" fontId="8" fillId="11" borderId="24" xfId="4" applyNumberFormat="1" applyFont="1" applyFill="1" applyBorder="1"/>
    <xf numFmtId="167" fontId="8" fillId="11" borderId="25" xfId="4" applyNumberFormat="1" applyFont="1" applyFill="1" applyBorder="1"/>
    <xf numFmtId="167" fontId="8" fillId="11" borderId="29" xfId="4" applyNumberFormat="1" applyFont="1" applyFill="1" applyBorder="1"/>
    <xf numFmtId="167" fontId="8" fillId="11" borderId="30" xfId="4" applyNumberFormat="1" applyFont="1" applyFill="1" applyBorder="1"/>
    <xf numFmtId="164" fontId="15" fillId="4" borderId="0" xfId="4" applyNumberFormat="1" applyFont="1"/>
    <xf numFmtId="167" fontId="15" fillId="4" borderId="0" xfId="4" applyNumberFormat="1" applyFont="1"/>
    <xf numFmtId="166" fontId="8" fillId="11" borderId="23" xfId="3" applyNumberFormat="1" applyFont="1" applyFill="1" applyBorder="1"/>
    <xf numFmtId="0" fontId="8" fillId="11" borderId="24" xfId="3" applyFont="1" applyFill="1" applyBorder="1"/>
    <xf numFmtId="164" fontId="8" fillId="11" borderId="24" xfId="3" applyNumberFormat="1" applyFont="1" applyFill="1" applyBorder="1"/>
    <xf numFmtId="166" fontId="8" fillId="11" borderId="28" xfId="2" applyNumberFormat="1" applyFont="1" applyFill="1" applyBorder="1"/>
    <xf numFmtId="0" fontId="8" fillId="11" borderId="29" xfId="2" applyFont="1" applyFill="1" applyBorder="1"/>
    <xf numFmtId="164" fontId="8" fillId="11" borderId="29" xfId="2" applyNumberFormat="1" applyFont="1" applyFill="1" applyBorder="1"/>
    <xf numFmtId="43" fontId="0" fillId="0" borderId="0" xfId="7" applyFont="1" applyAlignment="1">
      <alignment horizontal="center"/>
    </xf>
    <xf numFmtId="168" fontId="0" fillId="0" borderId="0" xfId="7" applyNumberFormat="1" applyFont="1"/>
    <xf numFmtId="14" fontId="0" fillId="0" borderId="0" xfId="0" applyNumberFormat="1"/>
    <xf numFmtId="0" fontId="0" fillId="0" borderId="35" xfId="0" applyBorder="1"/>
    <xf numFmtId="0" fontId="1" fillId="0" borderId="35" xfId="0" applyFont="1" applyBorder="1"/>
    <xf numFmtId="14" fontId="4" fillId="3" borderId="35" xfId="3" applyNumberFormat="1" applyBorder="1"/>
    <xf numFmtId="43" fontId="4" fillId="3" borderId="35" xfId="3" applyNumberFormat="1" applyBorder="1"/>
    <xf numFmtId="14" fontId="3" fillId="2" borderId="35" xfId="2" applyNumberFormat="1" applyBorder="1"/>
    <xf numFmtId="43" fontId="3" fillId="2" borderId="35" xfId="2" applyNumberFormat="1" applyBorder="1"/>
    <xf numFmtId="166" fontId="10" fillId="13" borderId="26" xfId="9" applyNumberFormat="1" applyFill="1" applyBorder="1"/>
    <xf numFmtId="0" fontId="10" fillId="13" borderId="0" xfId="9" applyFill="1" applyBorder="1"/>
    <xf numFmtId="164" fontId="10" fillId="13" borderId="0" xfId="9" applyNumberFormat="1" applyFill="1" applyBorder="1"/>
    <xf numFmtId="167" fontId="10" fillId="13" borderId="0" xfId="9" applyNumberFormat="1" applyFill="1" applyBorder="1"/>
    <xf numFmtId="167" fontId="10" fillId="13" borderId="27" xfId="9" applyNumberFormat="1" applyFill="1" applyBorder="1"/>
    <xf numFmtId="166" fontId="9" fillId="13" borderId="26" xfId="2" applyNumberFormat="1" applyFont="1" applyFill="1" applyBorder="1"/>
    <xf numFmtId="0" fontId="9" fillId="13" borderId="0" xfId="2" applyFont="1" applyFill="1" applyBorder="1"/>
    <xf numFmtId="164" fontId="9" fillId="13" borderId="0" xfId="2" applyNumberFormat="1" applyFont="1" applyFill="1" applyBorder="1"/>
    <xf numFmtId="167" fontId="9" fillId="13" borderId="0" xfId="2" applyNumberFormat="1" applyFont="1" applyFill="1" applyBorder="1"/>
    <xf numFmtId="167" fontId="9" fillId="13" borderId="27" xfId="2" applyNumberFormat="1" applyFont="1" applyFill="1" applyBorder="1"/>
    <xf numFmtId="43" fontId="0" fillId="0" borderId="0" xfId="0" applyNumberFormat="1"/>
    <xf numFmtId="14" fontId="5" fillId="4" borderId="35" xfId="4" applyNumberFormat="1" applyBorder="1"/>
    <xf numFmtId="43" fontId="15" fillId="4" borderId="35" xfId="4" applyNumberFormat="1" applyFont="1" applyBorder="1"/>
    <xf numFmtId="0" fontId="1" fillId="0" borderId="35" xfId="0" applyFont="1" applyBorder="1" applyAlignment="1">
      <alignment horizontal="center" wrapText="1"/>
    </xf>
    <xf numFmtId="44" fontId="1" fillId="0" borderId="35" xfId="8" applyFont="1" applyBorder="1" applyAlignment="1">
      <alignment horizontal="center" wrapText="1"/>
    </xf>
    <xf numFmtId="0" fontId="16" fillId="0" borderId="35" xfId="0" applyFont="1" applyBorder="1" applyAlignment="1">
      <alignment wrapText="1"/>
    </xf>
    <xf numFmtId="0" fontId="4" fillId="3" borderId="35" xfId="3" applyBorder="1"/>
    <xf numFmtId="0" fontId="3" fillId="2" borderId="35" xfId="2" applyBorder="1"/>
    <xf numFmtId="166" fontId="17" fillId="13" borderId="23" xfId="2" applyNumberFormat="1" applyFont="1" applyFill="1" applyBorder="1"/>
    <xf numFmtId="0" fontId="17" fillId="13" borderId="24" xfId="2" applyFont="1" applyFill="1" applyBorder="1"/>
    <xf numFmtId="164" fontId="17" fillId="13" borderId="24" xfId="2" applyNumberFormat="1" applyFont="1" applyFill="1" applyBorder="1"/>
    <xf numFmtId="167" fontId="17" fillId="13" borderId="24" xfId="2" applyNumberFormat="1" applyFont="1" applyFill="1" applyBorder="1"/>
    <xf numFmtId="167" fontId="17" fillId="13" borderId="25" xfId="2" applyNumberFormat="1" applyFont="1" applyFill="1" applyBorder="1"/>
    <xf numFmtId="166" fontId="17" fillId="13" borderId="26" xfId="3" applyNumberFormat="1" applyFont="1" applyFill="1" applyBorder="1"/>
    <xf numFmtId="0" fontId="17" fillId="13" borderId="0" xfId="3" applyFont="1" applyFill="1" applyBorder="1"/>
    <xf numFmtId="164" fontId="17" fillId="13" borderId="0" xfId="3" applyNumberFormat="1" applyFont="1" applyFill="1" applyBorder="1"/>
    <xf numFmtId="167" fontId="17" fillId="13" borderId="0" xfId="2" applyNumberFormat="1" applyFont="1" applyFill="1" applyBorder="1"/>
    <xf numFmtId="167" fontId="17" fillId="13" borderId="27" xfId="2" applyNumberFormat="1" applyFont="1" applyFill="1" applyBorder="1"/>
    <xf numFmtId="167" fontId="3" fillId="2" borderId="29" xfId="2" applyNumberFormat="1" applyBorder="1"/>
    <xf numFmtId="167" fontId="3" fillId="2" borderId="30" xfId="2" applyNumberFormat="1" applyBorder="1"/>
    <xf numFmtId="0" fontId="3" fillId="2" borderId="21" xfId="2" applyNumberFormat="1" applyBorder="1"/>
    <xf numFmtId="17" fontId="3" fillId="2" borderId="21" xfId="2" applyNumberFormat="1" applyBorder="1"/>
    <xf numFmtId="166" fontId="3" fillId="2" borderId="21" xfId="2" applyNumberFormat="1" applyBorder="1"/>
    <xf numFmtId="167" fontId="3" fillId="2" borderId="21" xfId="2" applyNumberFormat="1" applyBorder="1"/>
    <xf numFmtId="0" fontId="3" fillId="2" borderId="21" xfId="2" applyBorder="1"/>
    <xf numFmtId="166" fontId="8" fillId="11" borderId="36" xfId="3" applyNumberFormat="1" applyFont="1" applyFill="1" applyBorder="1"/>
    <xf numFmtId="0" fontId="8" fillId="11" borderId="37" xfId="3" applyFont="1" applyFill="1" applyBorder="1"/>
    <xf numFmtId="164" fontId="8" fillId="11" borderId="37" xfId="3" applyNumberFormat="1" applyFont="1" applyFill="1" applyBorder="1"/>
    <xf numFmtId="167" fontId="8" fillId="11" borderId="37" xfId="4" applyNumberFormat="1" applyFont="1" applyFill="1" applyBorder="1"/>
    <xf numFmtId="167" fontId="8" fillId="11" borderId="38" xfId="4" applyNumberFormat="1" applyFont="1" applyFill="1" applyBorder="1"/>
    <xf numFmtId="169" fontId="5" fillId="0" borderId="0" xfId="7" applyNumberFormat="1" applyFont="1" applyFill="1"/>
    <xf numFmtId="169" fontId="3" fillId="0" borderId="0" xfId="7" applyNumberFormat="1" applyFont="1" applyFill="1" applyBorder="1"/>
    <xf numFmtId="169" fontId="10" fillId="0" borderId="0" xfId="7" applyNumberFormat="1" applyFill="1" applyBorder="1"/>
    <xf numFmtId="169" fontId="3" fillId="2" borderId="0" xfId="7" applyNumberFormat="1" applyFont="1" applyFill="1" applyBorder="1"/>
    <xf numFmtId="169" fontId="9" fillId="0" borderId="0" xfId="7" applyNumberFormat="1" applyFont="1" applyFill="1" applyBorder="1"/>
    <xf numFmtId="169" fontId="8" fillId="0" borderId="0" xfId="7" applyNumberFormat="1" applyFont="1" applyFill="1" applyBorder="1"/>
    <xf numFmtId="169" fontId="5" fillId="0" borderId="0" xfId="7" applyNumberFormat="1" applyFont="1" applyFill="1" applyBorder="1"/>
    <xf numFmtId="169" fontId="0" fillId="0" borderId="0" xfId="7" applyNumberFormat="1" applyFont="1"/>
    <xf numFmtId="169" fontId="3" fillId="2" borderId="0" xfId="2" applyNumberFormat="1" applyBorder="1"/>
    <xf numFmtId="0" fontId="3" fillId="2" borderId="39" xfId="2" applyNumberFormat="1" applyBorder="1"/>
    <xf numFmtId="167" fontId="3" fillId="2" borderId="16" xfId="2" applyNumberFormat="1" applyBorder="1"/>
    <xf numFmtId="167" fontId="3" fillId="2" borderId="40" xfId="2" applyNumberFormat="1" applyBorder="1"/>
    <xf numFmtId="0" fontId="3" fillId="2" borderId="41" xfId="2" applyNumberFormat="1" applyBorder="1"/>
    <xf numFmtId="167" fontId="3" fillId="2" borderId="42" xfId="2" applyNumberFormat="1" applyBorder="1"/>
    <xf numFmtId="0" fontId="3" fillId="2" borderId="43" xfId="2" applyNumberFormat="1" applyBorder="1"/>
    <xf numFmtId="167" fontId="3" fillId="2" borderId="44" xfId="2" applyNumberFormat="1" applyBorder="1"/>
    <xf numFmtId="167" fontId="4" fillId="3" borderId="0" xfId="3" applyNumberFormat="1" applyBorder="1"/>
    <xf numFmtId="167" fontId="3" fillId="2" borderId="2" xfId="2" applyNumberFormat="1" applyBorder="1"/>
    <xf numFmtId="17" fontId="3" fillId="2" borderId="46" xfId="2" applyNumberFormat="1" applyBorder="1"/>
    <xf numFmtId="17" fontId="3" fillId="2" borderId="29" xfId="2" applyNumberFormat="1" applyBorder="1"/>
    <xf numFmtId="0" fontId="5" fillId="0" borderId="21" xfId="4" applyFill="1" applyBorder="1"/>
    <xf numFmtId="165" fontId="5" fillId="0" borderId="21" xfId="4" applyNumberFormat="1" applyFill="1" applyBorder="1"/>
    <xf numFmtId="0" fontId="4" fillId="3" borderId="21" xfId="3" applyNumberFormat="1" applyBorder="1"/>
    <xf numFmtId="166" fontId="4" fillId="3" borderId="21" xfId="3" applyNumberFormat="1" applyBorder="1"/>
    <xf numFmtId="0" fontId="4" fillId="3" borderId="0" xfId="3" applyNumberFormat="1" applyBorder="1"/>
    <xf numFmtId="17" fontId="4" fillId="3" borderId="21" xfId="3" applyNumberFormat="1" applyBorder="1"/>
    <xf numFmtId="167" fontId="3" fillId="0" borderId="30" xfId="2" applyNumberFormat="1" applyFill="1" applyBorder="1"/>
    <xf numFmtId="167" fontId="5" fillId="4" borderId="33" xfId="4" applyNumberFormat="1" applyBorder="1"/>
    <xf numFmtId="167" fontId="17" fillId="13" borderId="32" xfId="2" applyNumberFormat="1" applyFont="1" applyFill="1" applyBorder="1"/>
    <xf numFmtId="167" fontId="17" fillId="13" borderId="33" xfId="2" applyNumberFormat="1" applyFont="1" applyFill="1" applyBorder="1"/>
    <xf numFmtId="167" fontId="3" fillId="2" borderId="33" xfId="2" applyNumberFormat="1" applyBorder="1"/>
    <xf numFmtId="167" fontId="10" fillId="13" borderId="33" xfId="9" applyNumberFormat="1" applyFill="1" applyBorder="1"/>
    <xf numFmtId="167" fontId="3" fillId="2" borderId="34" xfId="2" applyNumberFormat="1" applyBorder="1"/>
    <xf numFmtId="167" fontId="3" fillId="2" borderId="32" xfId="2" applyNumberFormat="1" applyBorder="1"/>
    <xf numFmtId="167" fontId="9" fillId="13" borderId="33" xfId="2" applyNumberFormat="1" applyFont="1" applyFill="1" applyBorder="1"/>
    <xf numFmtId="167" fontId="8" fillId="11" borderId="32" xfId="4" applyNumberFormat="1" applyFont="1" applyFill="1" applyBorder="1"/>
    <xf numFmtId="167" fontId="8" fillId="11" borderId="34" xfId="4" applyNumberFormat="1" applyFont="1" applyFill="1" applyBorder="1"/>
    <xf numFmtId="167" fontId="8" fillId="11" borderId="47" xfId="4" applyNumberFormat="1" applyFont="1" applyFill="1" applyBorder="1"/>
    <xf numFmtId="167" fontId="0" fillId="0" borderId="34" xfId="0" applyNumberFormat="1" applyBorder="1"/>
    <xf numFmtId="17" fontId="3" fillId="2" borderId="24" xfId="2" applyNumberFormat="1" applyBorder="1"/>
    <xf numFmtId="17" fontId="17" fillId="13" borderId="24" xfId="2" applyNumberFormat="1" applyFont="1" applyFill="1" applyBorder="1"/>
    <xf numFmtId="17" fontId="17" fillId="13" borderId="0" xfId="3" applyNumberFormat="1" applyFont="1" applyFill="1" applyBorder="1"/>
    <xf numFmtId="17" fontId="10" fillId="13" borderId="0" xfId="9" applyNumberFormat="1" applyFill="1" applyBorder="1"/>
    <xf numFmtId="17" fontId="9" fillId="13" borderId="0" xfId="2" applyNumberFormat="1" applyFont="1" applyFill="1" applyBorder="1"/>
    <xf numFmtId="17" fontId="8" fillId="11" borderId="24" xfId="3" applyNumberFormat="1" applyFont="1" applyFill="1" applyBorder="1"/>
    <xf numFmtId="17" fontId="8" fillId="11" borderId="29" xfId="2" applyNumberFormat="1" applyFont="1" applyFill="1" applyBorder="1"/>
    <xf numFmtId="17" fontId="8" fillId="11" borderId="37" xfId="3" applyNumberFormat="1" applyFont="1" applyFill="1" applyBorder="1"/>
    <xf numFmtId="17" fontId="12" fillId="0" borderId="2" xfId="0" applyNumberFormat="1" applyFont="1" applyBorder="1"/>
    <xf numFmtId="164" fontId="0" fillId="0" borderId="0" xfId="0" applyNumberFormat="1"/>
    <xf numFmtId="166" fontId="3" fillId="7" borderId="0" xfId="0" applyNumberFormat="1" applyFont="1" applyFill="1"/>
    <xf numFmtId="0" fontId="3" fillId="7" borderId="0" xfId="0" applyFont="1" applyFill="1"/>
    <xf numFmtId="17" fontId="3" fillId="7" borderId="0" xfId="0" applyNumberFormat="1" applyFont="1" applyFill="1"/>
    <xf numFmtId="164" fontId="3" fillId="7" borderId="0" xfId="0" applyNumberFormat="1" applyFont="1" applyFill="1"/>
    <xf numFmtId="167" fontId="5" fillId="4" borderId="32" xfId="4" applyNumberFormat="1" applyBorder="1"/>
    <xf numFmtId="166" fontId="20" fillId="15" borderId="0" xfId="0" applyNumberFormat="1" applyFont="1" applyFill="1"/>
    <xf numFmtId="0" fontId="20" fillId="15" borderId="0" xfId="0" applyFont="1" applyFill="1"/>
    <xf numFmtId="17" fontId="20" fillId="15" borderId="0" xfId="0" applyNumberFormat="1" applyFont="1" applyFill="1"/>
    <xf numFmtId="164" fontId="20" fillId="15" borderId="0" xfId="0" applyNumberFormat="1" applyFont="1" applyFill="1"/>
    <xf numFmtId="166" fontId="3" fillId="2" borderId="50" xfId="2" applyNumberFormat="1" applyBorder="1"/>
    <xf numFmtId="17" fontId="5" fillId="4" borderId="0" xfId="4" applyNumberFormat="1"/>
    <xf numFmtId="166" fontId="5" fillId="16" borderId="21" xfId="4" applyNumberFormat="1" applyFill="1" applyBorder="1"/>
    <xf numFmtId="0" fontId="5" fillId="16" borderId="21" xfId="4" applyFill="1" applyBorder="1"/>
    <xf numFmtId="17" fontId="5" fillId="16" borderId="21" xfId="4" applyNumberFormat="1" applyFill="1" applyBorder="1"/>
    <xf numFmtId="164" fontId="5" fillId="16" borderId="21" xfId="4" applyNumberFormat="1" applyFill="1" applyBorder="1"/>
    <xf numFmtId="166" fontId="3" fillId="16" borderId="21" xfId="2" applyNumberFormat="1" applyFill="1" applyBorder="1"/>
    <xf numFmtId="0" fontId="3" fillId="16" borderId="21" xfId="2" applyFill="1" applyBorder="1"/>
    <xf numFmtId="17" fontId="3" fillId="16" borderId="21" xfId="2" applyNumberFormat="1" applyFill="1" applyBorder="1"/>
    <xf numFmtId="164" fontId="3" fillId="16" borderId="21" xfId="2" applyNumberFormat="1" applyFill="1" applyBorder="1"/>
    <xf numFmtId="166" fontId="4" fillId="11" borderId="26" xfId="3" applyNumberFormat="1" applyFill="1" applyBorder="1"/>
    <xf numFmtId="0" fontId="4" fillId="11" borderId="0" xfId="3" applyFill="1" applyBorder="1"/>
    <xf numFmtId="17" fontId="4" fillId="11" borderId="0" xfId="3" applyNumberFormat="1" applyFill="1" applyBorder="1"/>
    <xf numFmtId="164" fontId="4" fillId="11" borderId="0" xfId="3" applyNumberFormat="1" applyFill="1" applyBorder="1"/>
    <xf numFmtId="0" fontId="4" fillId="3" borderId="2" xfId="3" applyNumberFormat="1" applyBorder="1"/>
    <xf numFmtId="17" fontId="4" fillId="3" borderId="2" xfId="3" applyNumberFormat="1" applyBorder="1"/>
    <xf numFmtId="166" fontId="4" fillId="3" borderId="2" xfId="3" applyNumberFormat="1" applyBorder="1"/>
    <xf numFmtId="164" fontId="4" fillId="3" borderId="2" xfId="3" applyNumberFormat="1" applyBorder="1"/>
    <xf numFmtId="0" fontId="4" fillId="3" borderId="2" xfId="3" applyBorder="1"/>
    <xf numFmtId="17" fontId="4" fillId="3" borderId="16" xfId="3" applyNumberFormat="1" applyBorder="1"/>
    <xf numFmtId="166" fontId="4" fillId="3" borderId="16" xfId="3" applyNumberFormat="1" applyBorder="1"/>
    <xf numFmtId="167" fontId="4" fillId="3" borderId="16" xfId="3" applyNumberFormat="1" applyBorder="1"/>
    <xf numFmtId="0" fontId="4" fillId="3" borderId="16" xfId="3" applyBorder="1"/>
    <xf numFmtId="14" fontId="3" fillId="2" borderId="2" xfId="2" applyNumberFormat="1" applyBorder="1"/>
    <xf numFmtId="0" fontId="9" fillId="0" borderId="0" xfId="2" applyFont="1" applyFill="1"/>
    <xf numFmtId="17" fontId="9" fillId="0" borderId="0" xfId="2" applyNumberFormat="1" applyFont="1" applyFill="1"/>
    <xf numFmtId="14" fontId="9" fillId="0" borderId="0" xfId="0" applyNumberFormat="1" applyFont="1"/>
    <xf numFmtId="167" fontId="9" fillId="0" borderId="0" xfId="0" applyNumberFormat="1" applyFont="1"/>
    <xf numFmtId="0" fontId="9" fillId="0" borderId="0" xfId="0" applyFont="1"/>
    <xf numFmtId="167" fontId="9" fillId="0" borderId="0" xfId="4" applyNumberFormat="1" applyFont="1" applyFill="1"/>
    <xf numFmtId="0" fontId="9" fillId="0" borderId="0" xfId="4" applyFont="1" applyFill="1"/>
    <xf numFmtId="0" fontId="9" fillId="0" borderId="2" xfId="2" applyFont="1" applyFill="1" applyBorder="1"/>
    <xf numFmtId="17" fontId="9" fillId="0" borderId="2" xfId="2" applyNumberFormat="1" applyFont="1" applyFill="1" applyBorder="1"/>
    <xf numFmtId="14" fontId="9" fillId="0" borderId="2" xfId="0" applyNumberFormat="1" applyFont="1" applyBorder="1"/>
    <xf numFmtId="167" fontId="9" fillId="0" borderId="2" xfId="4" applyNumberFormat="1" applyFont="1" applyFill="1" applyBorder="1"/>
    <xf numFmtId="0" fontId="9" fillId="0" borderId="0" xfId="3" applyFont="1" applyFill="1"/>
    <xf numFmtId="17" fontId="9" fillId="0" borderId="0" xfId="3" applyNumberFormat="1" applyFont="1" applyFill="1"/>
    <xf numFmtId="14" fontId="9" fillId="0" borderId="0" xfId="3" applyNumberFormat="1" applyFont="1" applyFill="1"/>
    <xf numFmtId="167" fontId="9" fillId="0" borderId="0" xfId="3" applyNumberFormat="1" applyFont="1" applyFill="1"/>
    <xf numFmtId="0" fontId="9" fillId="14" borderId="51" xfId="0" applyFont="1" applyFill="1" applyBorder="1"/>
    <xf numFmtId="0" fontId="9" fillId="0" borderId="2" xfId="4" applyFont="1" applyFill="1" applyBorder="1"/>
    <xf numFmtId="167" fontId="10" fillId="6" borderId="0" xfId="5" applyNumberFormat="1"/>
    <xf numFmtId="167" fontId="4" fillId="3" borderId="2" xfId="3" applyNumberFormat="1" applyBorder="1"/>
    <xf numFmtId="0" fontId="3" fillId="2" borderId="45" xfId="2" applyBorder="1"/>
    <xf numFmtId="0" fontId="3" fillId="2" borderId="16" xfId="2" applyNumberFormat="1" applyBorder="1"/>
    <xf numFmtId="0" fontId="3" fillId="2" borderId="29" xfId="2" applyBorder="1" applyAlignment="1">
      <alignment vertical="center"/>
    </xf>
    <xf numFmtId="169" fontId="3" fillId="2" borderId="0" xfId="2" applyNumberFormat="1"/>
    <xf numFmtId="0" fontId="5" fillId="4" borderId="0" xfId="4" applyAlignment="1">
      <alignment wrapText="1"/>
    </xf>
    <xf numFmtId="0" fontId="5" fillId="4" borderId="22" xfId="4" applyBorder="1"/>
    <xf numFmtId="167" fontId="1" fillId="0" borderId="0" xfId="0" applyNumberFormat="1" applyFont="1"/>
    <xf numFmtId="169" fontId="17" fillId="2" borderId="0" xfId="2" applyNumberFormat="1" applyFont="1" applyBorder="1"/>
    <xf numFmtId="166" fontId="3" fillId="2" borderId="56" xfId="2" applyNumberFormat="1" applyBorder="1"/>
    <xf numFmtId="0" fontId="3" fillId="2" borderId="56" xfId="2" applyBorder="1"/>
    <xf numFmtId="17" fontId="3" fillId="2" borderId="56" xfId="2" applyNumberFormat="1" applyBorder="1"/>
    <xf numFmtId="164" fontId="3" fillId="2" borderId="56" xfId="2" applyNumberFormat="1" applyBorder="1"/>
    <xf numFmtId="167" fontId="3" fillId="2" borderId="56" xfId="2" applyNumberFormat="1" applyBorder="1"/>
    <xf numFmtId="169" fontId="3" fillId="2" borderId="56" xfId="2" applyNumberFormat="1" applyBorder="1"/>
    <xf numFmtId="43" fontId="3" fillId="2" borderId="56" xfId="2" applyNumberFormat="1" applyBorder="1"/>
    <xf numFmtId="43" fontId="3" fillId="2" borderId="0" xfId="2" applyNumberFormat="1"/>
    <xf numFmtId="166" fontId="3" fillId="2" borderId="58" xfId="2" applyNumberFormat="1" applyBorder="1"/>
    <xf numFmtId="0" fontId="3" fillId="2" borderId="59" xfId="2" applyBorder="1"/>
    <xf numFmtId="17" fontId="3" fillId="2" borderId="59" xfId="2" applyNumberFormat="1" applyBorder="1"/>
    <xf numFmtId="164" fontId="3" fillId="2" borderId="59" xfId="2" applyNumberFormat="1" applyBorder="1"/>
    <xf numFmtId="167" fontId="3" fillId="2" borderId="60" xfId="2" applyNumberFormat="1" applyBorder="1"/>
    <xf numFmtId="166" fontId="10" fillId="12" borderId="26" xfId="9" applyNumberFormat="1" applyBorder="1"/>
    <xf numFmtId="0" fontId="10" fillId="12" borderId="0" xfId="9" applyBorder="1"/>
    <xf numFmtId="17" fontId="10" fillId="12" borderId="0" xfId="9" applyNumberFormat="1" applyBorder="1"/>
    <xf numFmtId="0" fontId="10" fillId="12" borderId="57" xfId="9" applyBorder="1"/>
    <xf numFmtId="164" fontId="10" fillId="12" borderId="0" xfId="9" applyNumberFormat="1" applyBorder="1"/>
    <xf numFmtId="167" fontId="10" fillId="12" borderId="33" xfId="9" applyNumberFormat="1" applyBorder="1"/>
    <xf numFmtId="167" fontId="10" fillId="12" borderId="0" xfId="9" applyNumberFormat="1" applyBorder="1"/>
    <xf numFmtId="167" fontId="10" fillId="12" borderId="27" xfId="9" applyNumberFormat="1" applyBorder="1"/>
    <xf numFmtId="166" fontId="10" fillId="12" borderId="36" xfId="9" applyNumberFormat="1" applyBorder="1"/>
    <xf numFmtId="0" fontId="10" fillId="12" borderId="37" xfId="9" applyBorder="1"/>
    <xf numFmtId="17" fontId="10" fillId="12" borderId="37" xfId="9" applyNumberFormat="1" applyBorder="1"/>
    <xf numFmtId="0" fontId="10" fillId="12" borderId="38" xfId="9" applyBorder="1"/>
    <xf numFmtId="164" fontId="10" fillId="12" borderId="37" xfId="9" applyNumberFormat="1" applyBorder="1"/>
    <xf numFmtId="167" fontId="10" fillId="12" borderId="47" xfId="9" applyNumberFormat="1" applyBorder="1"/>
    <xf numFmtId="167" fontId="10" fillId="12" borderId="37" xfId="9" applyNumberFormat="1" applyBorder="1"/>
    <xf numFmtId="167" fontId="10" fillId="12" borderId="38" xfId="9" applyNumberFormat="1" applyBorder="1"/>
    <xf numFmtId="167" fontId="10" fillId="12" borderId="32" xfId="9" applyNumberFormat="1" applyBorder="1"/>
    <xf numFmtId="167" fontId="10" fillId="12" borderId="24" xfId="9" applyNumberFormat="1" applyBorder="1"/>
    <xf numFmtId="167" fontId="10" fillId="12" borderId="25" xfId="9" applyNumberFormat="1" applyBorder="1"/>
    <xf numFmtId="166" fontId="10" fillId="12" borderId="53" xfId="9" applyNumberFormat="1" applyBorder="1"/>
    <xf numFmtId="0" fontId="10" fillId="12" borderId="54" xfId="9" applyBorder="1"/>
    <xf numFmtId="17" fontId="10" fillId="12" borderId="54" xfId="9" applyNumberFormat="1" applyBorder="1"/>
    <xf numFmtId="0" fontId="10" fillId="12" borderId="55" xfId="9" applyBorder="1"/>
    <xf numFmtId="164" fontId="10" fillId="12" borderId="54" xfId="9" applyNumberFormat="1" applyBorder="1"/>
    <xf numFmtId="167" fontId="10" fillId="12" borderId="52" xfId="9" applyNumberFormat="1" applyBorder="1"/>
    <xf numFmtId="167" fontId="10" fillId="12" borderId="55" xfId="9" applyNumberFormat="1" applyBorder="1"/>
    <xf numFmtId="166" fontId="3" fillId="2" borderId="46" xfId="2" applyNumberFormat="1" applyBorder="1"/>
    <xf numFmtId="167" fontId="3" fillId="2" borderId="48" xfId="2" applyNumberFormat="1" applyBorder="1"/>
    <xf numFmtId="167" fontId="3" fillId="2" borderId="49" xfId="2" applyNumberFormat="1" applyBorder="1"/>
    <xf numFmtId="166" fontId="10" fillId="12" borderId="62" xfId="9" applyNumberFormat="1" applyBorder="1"/>
    <xf numFmtId="0" fontId="10" fillId="12" borderId="16" xfId="9" applyBorder="1"/>
    <xf numFmtId="17" fontId="10" fillId="12" borderId="16" xfId="9" applyNumberFormat="1" applyBorder="1"/>
    <xf numFmtId="164" fontId="10" fillId="12" borderId="16" xfId="9" applyNumberFormat="1" applyBorder="1"/>
    <xf numFmtId="167" fontId="10" fillId="12" borderId="61" xfId="9" applyNumberFormat="1" applyBorder="1"/>
    <xf numFmtId="167" fontId="10" fillId="12" borderId="57" xfId="9" applyNumberFormat="1" applyBorder="1"/>
    <xf numFmtId="167" fontId="8" fillId="11" borderId="0" xfId="4" applyNumberFormat="1" applyFont="1" applyFill="1" applyBorder="1"/>
    <xf numFmtId="167" fontId="3" fillId="0" borderId="0" xfId="2" applyNumberFormat="1" applyFill="1" applyBorder="1"/>
    <xf numFmtId="166" fontId="10" fillId="11" borderId="36" xfId="9" applyNumberFormat="1" applyFill="1" applyBorder="1"/>
    <xf numFmtId="0" fontId="10" fillId="11" borderId="37" xfId="9" applyFill="1" applyBorder="1"/>
    <xf numFmtId="17" fontId="10" fillId="11" borderId="37" xfId="9" applyNumberFormat="1" applyFill="1" applyBorder="1"/>
    <xf numFmtId="0" fontId="10" fillId="11" borderId="38" xfId="9" applyFill="1" applyBorder="1"/>
    <xf numFmtId="164" fontId="10" fillId="11" borderId="37" xfId="9" applyNumberFormat="1" applyFill="1" applyBorder="1"/>
    <xf numFmtId="167" fontId="10" fillId="11" borderId="47" xfId="9" applyNumberFormat="1" applyFill="1" applyBorder="1"/>
    <xf numFmtId="167" fontId="10" fillId="11" borderId="37" xfId="9" applyNumberFormat="1" applyFill="1" applyBorder="1"/>
    <xf numFmtId="167" fontId="10" fillId="11" borderId="38" xfId="9" applyNumberFormat="1" applyFill="1" applyBorder="1"/>
    <xf numFmtId="167" fontId="3" fillId="11" borderId="0" xfId="2" applyNumberFormat="1" applyFill="1" applyBorder="1"/>
    <xf numFmtId="169" fontId="3" fillId="11" borderId="0" xfId="2" applyNumberFormat="1" applyFill="1" applyBorder="1"/>
    <xf numFmtId="169" fontId="19" fillId="11" borderId="0" xfId="7" applyNumberFormat="1" applyFont="1" applyFill="1" applyBorder="1"/>
    <xf numFmtId="166" fontId="10" fillId="11" borderId="53" xfId="9" applyNumberFormat="1" applyFill="1" applyBorder="1"/>
    <xf numFmtId="0" fontId="10" fillId="11" borderId="54" xfId="9" applyFill="1" applyBorder="1"/>
    <xf numFmtId="17" fontId="10" fillId="11" borderId="54" xfId="9" applyNumberFormat="1" applyFill="1" applyBorder="1"/>
    <xf numFmtId="0" fontId="10" fillId="11" borderId="55" xfId="9" applyFill="1" applyBorder="1"/>
    <xf numFmtId="164" fontId="10" fillId="11" borderId="54" xfId="9" applyNumberFormat="1" applyFill="1" applyBorder="1"/>
    <xf numFmtId="167" fontId="10" fillId="11" borderId="52" xfId="9" applyNumberFormat="1" applyFill="1" applyBorder="1"/>
    <xf numFmtId="167" fontId="10" fillId="11" borderId="55" xfId="9" applyNumberFormat="1" applyFill="1" applyBorder="1"/>
    <xf numFmtId="167" fontId="4" fillId="3" borderId="12" xfId="3" applyNumberFormat="1" applyBorder="1"/>
    <xf numFmtId="0" fontId="9" fillId="0" borderId="0" xfId="3" applyNumberFormat="1" applyFont="1" applyFill="1" applyBorder="1"/>
    <xf numFmtId="17" fontId="9" fillId="0" borderId="16" xfId="3" applyNumberFormat="1" applyFont="1" applyFill="1" applyBorder="1"/>
    <xf numFmtId="166" fontId="9" fillId="0" borderId="16" xfId="3" applyNumberFormat="1" applyFont="1" applyFill="1" applyBorder="1"/>
    <xf numFmtId="167" fontId="9" fillId="0" borderId="16" xfId="3" applyNumberFormat="1" applyFont="1" applyFill="1" applyBorder="1"/>
    <xf numFmtId="0" fontId="9" fillId="0" borderId="16" xfId="3" applyFont="1" applyFill="1" applyBorder="1"/>
    <xf numFmtId="17" fontId="9" fillId="0" borderId="0" xfId="3" applyNumberFormat="1" applyFont="1" applyFill="1" applyBorder="1"/>
    <xf numFmtId="166" fontId="9" fillId="0" borderId="0" xfId="3" applyNumberFormat="1" applyFont="1" applyFill="1" applyBorder="1"/>
    <xf numFmtId="167" fontId="9" fillId="0" borderId="12" xfId="3" applyNumberFormat="1" applyFont="1" applyFill="1" applyBorder="1"/>
    <xf numFmtId="0" fontId="9" fillId="0" borderId="0" xfId="3" applyFont="1" applyFill="1" applyBorder="1"/>
    <xf numFmtId="167" fontId="9" fillId="0" borderId="0" xfId="3" applyNumberFormat="1" applyFont="1" applyFill="1" applyBorder="1"/>
    <xf numFmtId="0" fontId="9" fillId="0" borderId="21" xfId="3" applyNumberFormat="1" applyFont="1" applyFill="1" applyBorder="1"/>
    <xf numFmtId="17" fontId="9" fillId="0" borderId="21" xfId="3" applyNumberFormat="1" applyFont="1" applyFill="1" applyBorder="1"/>
    <xf numFmtId="166" fontId="9" fillId="0" borderId="21" xfId="3" applyNumberFormat="1" applyFont="1" applyFill="1" applyBorder="1"/>
    <xf numFmtId="0" fontId="9" fillId="0" borderId="0" xfId="4" applyNumberFormat="1" applyFont="1" applyFill="1" applyBorder="1"/>
    <xf numFmtId="17" fontId="9" fillId="0" borderId="16" xfId="4" applyNumberFormat="1" applyFont="1" applyFill="1" applyBorder="1"/>
    <xf numFmtId="166" fontId="9" fillId="0" borderId="16" xfId="4" applyNumberFormat="1" applyFont="1" applyFill="1" applyBorder="1"/>
    <xf numFmtId="167" fontId="9" fillId="0" borderId="16" xfId="4" applyNumberFormat="1" applyFont="1" applyFill="1" applyBorder="1"/>
    <xf numFmtId="0" fontId="9" fillId="0" borderId="16" xfId="4" applyFont="1" applyFill="1" applyBorder="1"/>
    <xf numFmtId="17" fontId="9" fillId="0" borderId="0" xfId="4" applyNumberFormat="1" applyFont="1" applyFill="1" applyBorder="1"/>
    <xf numFmtId="166" fontId="9" fillId="0" borderId="0" xfId="4" applyNumberFormat="1" applyFont="1" applyFill="1" applyBorder="1"/>
    <xf numFmtId="167" fontId="9" fillId="0" borderId="12" xfId="4" applyNumberFormat="1" applyFont="1" applyFill="1" applyBorder="1"/>
    <xf numFmtId="0" fontId="9" fillId="0" borderId="0" xfId="4" applyFont="1" applyFill="1" applyBorder="1"/>
    <xf numFmtId="167" fontId="9" fillId="0" borderId="0" xfId="4" applyNumberFormat="1" applyFont="1" applyFill="1" applyBorder="1"/>
    <xf numFmtId="0" fontId="9" fillId="0" borderId="21" xfId="4" applyNumberFormat="1" applyFont="1" applyFill="1" applyBorder="1"/>
    <xf numFmtId="167" fontId="9" fillId="0" borderId="21" xfId="3" applyNumberFormat="1" applyFont="1" applyFill="1" applyBorder="1"/>
    <xf numFmtId="0" fontId="9" fillId="0" borderId="21" xfId="3" applyFont="1" applyFill="1" applyBorder="1"/>
    <xf numFmtId="167" fontId="5" fillId="0" borderId="0" xfId="4" applyNumberFormat="1" applyFill="1"/>
    <xf numFmtId="167" fontId="5" fillId="0" borderId="21" xfId="4" applyNumberFormat="1" applyFill="1" applyBorder="1"/>
    <xf numFmtId="166" fontId="3" fillId="0" borderId="0" xfId="2" applyNumberFormat="1" applyFill="1"/>
    <xf numFmtId="0" fontId="3" fillId="0" borderId="0" xfId="2" applyFill="1"/>
    <xf numFmtId="0" fontId="3" fillId="0" borderId="21" xfId="2" applyFill="1" applyBorder="1"/>
    <xf numFmtId="0" fontId="0" fillId="0" borderId="21" xfId="0" applyBorder="1"/>
    <xf numFmtId="166" fontId="3" fillId="0" borderId="21" xfId="2" applyNumberFormat="1" applyFill="1" applyBorder="1"/>
    <xf numFmtId="0" fontId="5" fillId="0" borderId="21" xfId="4" applyNumberFormat="1" applyFill="1" applyBorder="1"/>
    <xf numFmtId="0" fontId="5" fillId="0" borderId="2" xfId="4" applyFill="1" applyBorder="1"/>
    <xf numFmtId="166" fontId="3" fillId="0" borderId="2" xfId="2" applyNumberFormat="1" applyFill="1" applyBorder="1"/>
    <xf numFmtId="167" fontId="5" fillId="0" borderId="2" xfId="4" applyNumberFormat="1" applyFill="1" applyBorder="1"/>
    <xf numFmtId="0" fontId="3" fillId="0" borderId="2" xfId="2" applyFill="1" applyBorder="1"/>
    <xf numFmtId="167" fontId="3" fillId="0" borderId="21" xfId="2" applyNumberFormat="1" applyFill="1" applyBorder="1"/>
    <xf numFmtId="0" fontId="3" fillId="2" borderId="46" xfId="2" applyBorder="1"/>
    <xf numFmtId="166" fontId="17" fillId="0" borderId="65" xfId="10" applyNumberFormat="1" applyFont="1" applyFill="1" applyBorder="1"/>
    <xf numFmtId="0" fontId="17" fillId="0" borderId="56" xfId="10" applyFont="1" applyFill="1"/>
    <xf numFmtId="17" fontId="17" fillId="0" borderId="56" xfId="10" applyNumberFormat="1" applyFont="1" applyFill="1"/>
    <xf numFmtId="164" fontId="17" fillId="0" borderId="56" xfId="10" applyNumberFormat="1" applyFont="1" applyFill="1"/>
    <xf numFmtId="167" fontId="17" fillId="0" borderId="66" xfId="10" applyNumberFormat="1" applyFont="1" applyFill="1" applyBorder="1"/>
    <xf numFmtId="167" fontId="17" fillId="0" borderId="63" xfId="10" applyNumberFormat="1" applyFont="1" applyFill="1" applyBorder="1"/>
    <xf numFmtId="169" fontId="17" fillId="0" borderId="56" xfId="10" applyNumberFormat="1" applyFont="1" applyFill="1"/>
    <xf numFmtId="166" fontId="17" fillId="0" borderId="67" xfId="10" applyNumberFormat="1" applyFont="1" applyFill="1" applyBorder="1"/>
    <xf numFmtId="0" fontId="17" fillId="0" borderId="68" xfId="10" applyFont="1" applyFill="1" applyBorder="1"/>
    <xf numFmtId="17" fontId="17" fillId="0" borderId="68" xfId="10" applyNumberFormat="1" applyFont="1" applyFill="1" applyBorder="1"/>
    <xf numFmtId="164" fontId="17" fillId="0" borderId="68" xfId="10" applyNumberFormat="1" applyFont="1" applyFill="1" applyBorder="1"/>
    <xf numFmtId="167" fontId="17" fillId="0" borderId="69" xfId="10" applyNumberFormat="1" applyFont="1" applyFill="1" applyBorder="1"/>
    <xf numFmtId="166" fontId="17" fillId="0" borderId="58" xfId="4" applyNumberFormat="1" applyFont="1" applyFill="1" applyBorder="1"/>
    <xf numFmtId="0" fontId="17" fillId="0" borderId="59" xfId="4" applyFont="1" applyFill="1" applyBorder="1"/>
    <xf numFmtId="17" fontId="17" fillId="0" borderId="59" xfId="4" applyNumberFormat="1" applyFont="1" applyFill="1" applyBorder="1"/>
    <xf numFmtId="164" fontId="17" fillId="0" borderId="59" xfId="4" applyNumberFormat="1" applyFont="1" applyFill="1" applyBorder="1"/>
    <xf numFmtId="167" fontId="17" fillId="0" borderId="60" xfId="4" applyNumberFormat="1" applyFont="1" applyFill="1" applyBorder="1"/>
    <xf numFmtId="167" fontId="17" fillId="0" borderId="0" xfId="4" applyNumberFormat="1" applyFont="1" applyFill="1" applyBorder="1"/>
    <xf numFmtId="169" fontId="17" fillId="0" borderId="56" xfId="4" applyNumberFormat="1" applyFont="1" applyFill="1" applyBorder="1"/>
    <xf numFmtId="166" fontId="17" fillId="0" borderId="65" xfId="4" applyNumberFormat="1" applyFont="1" applyFill="1" applyBorder="1"/>
    <xf numFmtId="0" fontId="17" fillId="0" borderId="56" xfId="4" applyFont="1" applyFill="1" applyBorder="1"/>
    <xf numFmtId="17" fontId="17" fillId="0" borderId="56" xfId="4" applyNumberFormat="1" applyFont="1" applyFill="1" applyBorder="1"/>
    <xf numFmtId="164" fontId="17" fillId="0" borderId="56" xfId="4" applyNumberFormat="1" applyFont="1" applyFill="1" applyBorder="1"/>
    <xf numFmtId="167" fontId="17" fillId="0" borderId="66" xfId="4" applyNumberFormat="1" applyFont="1" applyFill="1" applyBorder="1"/>
    <xf numFmtId="169" fontId="4" fillId="3" borderId="0" xfId="3" applyNumberFormat="1" applyBorder="1"/>
    <xf numFmtId="166" fontId="9" fillId="11" borderId="65" xfId="3" applyNumberFormat="1" applyFont="1" applyFill="1" applyBorder="1"/>
    <xf numFmtId="0" fontId="9" fillId="11" borderId="56" xfId="3" applyFont="1" applyFill="1" applyBorder="1"/>
    <xf numFmtId="17" fontId="9" fillId="11" borderId="56" xfId="3" applyNumberFormat="1" applyFont="1" applyFill="1" applyBorder="1"/>
    <xf numFmtId="164" fontId="9" fillId="11" borderId="56" xfId="3" applyNumberFormat="1" applyFont="1" applyFill="1" applyBorder="1"/>
    <xf numFmtId="167" fontId="9" fillId="11" borderId="77" xfId="4" applyNumberFormat="1" applyFont="1" applyFill="1" applyBorder="1"/>
    <xf numFmtId="167" fontId="9" fillId="11" borderId="66" xfId="4" applyNumberFormat="1" applyFont="1" applyFill="1" applyBorder="1"/>
    <xf numFmtId="167" fontId="9" fillId="11" borderId="0" xfId="2" applyNumberFormat="1" applyFont="1" applyFill="1" applyBorder="1"/>
    <xf numFmtId="169" fontId="9" fillId="11" borderId="56" xfId="7" applyNumberFormat="1" applyFont="1" applyFill="1" applyBorder="1"/>
    <xf numFmtId="0" fontId="3" fillId="2" borderId="60" xfId="2" applyBorder="1"/>
    <xf numFmtId="164" fontId="3" fillId="2" borderId="74" xfId="2" applyNumberFormat="1" applyBorder="1"/>
    <xf numFmtId="164" fontId="3" fillId="2" borderId="72" xfId="2" applyNumberFormat="1" applyBorder="1"/>
    <xf numFmtId="167" fontId="3" fillId="2" borderId="76" xfId="2" applyNumberFormat="1" applyBorder="1"/>
    <xf numFmtId="167" fontId="3" fillId="2" borderId="74" xfId="2" applyNumberFormat="1" applyBorder="1"/>
    <xf numFmtId="166" fontId="3" fillId="2" borderId="65" xfId="2" applyNumberFormat="1" applyBorder="1"/>
    <xf numFmtId="0" fontId="3" fillId="2" borderId="66" xfId="2" applyBorder="1"/>
    <xf numFmtId="164" fontId="3" fillId="2" borderId="63" xfId="2" applyNumberFormat="1" applyBorder="1"/>
    <xf numFmtId="164" fontId="3" fillId="2" borderId="73" xfId="2" applyNumberFormat="1" applyBorder="1"/>
    <xf numFmtId="167" fontId="3" fillId="2" borderId="77" xfId="2" applyNumberFormat="1" applyBorder="1"/>
    <xf numFmtId="167" fontId="3" fillId="2" borderId="63" xfId="2" applyNumberFormat="1" applyBorder="1"/>
    <xf numFmtId="167" fontId="3" fillId="2" borderId="66" xfId="2" applyNumberFormat="1" applyBorder="1"/>
    <xf numFmtId="0" fontId="3" fillId="2" borderId="27" xfId="2" applyBorder="1"/>
    <xf numFmtId="166" fontId="3" fillId="2" borderId="67" xfId="2" applyNumberFormat="1" applyBorder="1"/>
    <xf numFmtId="0" fontId="3" fillId="2" borderId="68" xfId="2" applyBorder="1"/>
    <xf numFmtId="17" fontId="3" fillId="2" borderId="68" xfId="2" applyNumberFormat="1" applyBorder="1"/>
    <xf numFmtId="0" fontId="3" fillId="2" borderId="30" xfId="2" applyBorder="1"/>
    <xf numFmtId="167" fontId="3" fillId="2" borderId="75" xfId="2" applyNumberFormat="1" applyBorder="1"/>
    <xf numFmtId="167" fontId="3" fillId="2" borderId="69" xfId="2" applyNumberFormat="1" applyBorder="1"/>
    <xf numFmtId="166" fontId="3" fillId="2" borderId="70" xfId="2" applyNumberFormat="1" applyBorder="1"/>
    <xf numFmtId="0" fontId="3" fillId="2" borderId="64" xfId="2" applyBorder="1"/>
    <xf numFmtId="17" fontId="3" fillId="2" borderId="64" xfId="2" applyNumberFormat="1" applyBorder="1"/>
    <xf numFmtId="164" fontId="3" fillId="2" borderId="64" xfId="2" applyNumberFormat="1" applyBorder="1"/>
    <xf numFmtId="167" fontId="3" fillId="2" borderId="71" xfId="2" applyNumberFormat="1" applyBorder="1"/>
    <xf numFmtId="164" fontId="3" fillId="2" borderId="68" xfId="2" applyNumberFormat="1" applyBorder="1"/>
    <xf numFmtId="10" fontId="12" fillId="0" borderId="0" xfId="6" applyNumberFormat="1" applyFont="1"/>
    <xf numFmtId="166" fontId="5" fillId="4" borderId="65" xfId="4" applyNumberFormat="1" applyBorder="1"/>
    <xf numFmtId="0" fontId="5" fillId="4" borderId="56" xfId="4" applyBorder="1"/>
    <xf numFmtId="17" fontId="5" fillId="4" borderId="56" xfId="4" applyNumberFormat="1" applyBorder="1"/>
    <xf numFmtId="164" fontId="5" fillId="4" borderId="56" xfId="4" applyNumberFormat="1" applyBorder="1"/>
    <xf numFmtId="167" fontId="5" fillId="4" borderId="66" xfId="4" applyNumberFormat="1" applyBorder="1"/>
    <xf numFmtId="167" fontId="5" fillId="4" borderId="63" xfId="4" applyNumberFormat="1" applyBorder="1"/>
    <xf numFmtId="169" fontId="5" fillId="4" borderId="56" xfId="4" applyNumberFormat="1" applyBorder="1"/>
    <xf numFmtId="166" fontId="5" fillId="4" borderId="67" xfId="4" applyNumberFormat="1" applyBorder="1"/>
    <xf numFmtId="0" fontId="5" fillId="4" borderId="68" xfId="4" applyBorder="1"/>
    <xf numFmtId="17" fontId="5" fillId="4" borderId="68" xfId="4" applyNumberFormat="1" applyBorder="1"/>
    <xf numFmtId="164" fontId="5" fillId="4" borderId="68" xfId="4" applyNumberFormat="1" applyBorder="1"/>
    <xf numFmtId="167" fontId="5" fillId="4" borderId="69" xfId="4" applyNumberFormat="1" applyBorder="1"/>
    <xf numFmtId="169" fontId="17" fillId="0" borderId="56" xfId="7" applyNumberFormat="1" applyFont="1" applyFill="1" applyBorder="1"/>
    <xf numFmtId="0" fontId="17" fillId="0" borderId="64" xfId="4" applyFont="1" applyFill="1" applyBorder="1"/>
    <xf numFmtId="166" fontId="4" fillId="0" borderId="70" xfId="3" applyNumberFormat="1" applyFill="1" applyBorder="1"/>
    <xf numFmtId="0" fontId="4" fillId="0" borderId="64" xfId="3" applyFill="1" applyBorder="1"/>
    <xf numFmtId="17" fontId="4" fillId="0" borderId="64" xfId="3" applyNumberFormat="1" applyFill="1" applyBorder="1"/>
    <xf numFmtId="164" fontId="4" fillId="0" borderId="64" xfId="3" applyNumberFormat="1" applyFill="1" applyBorder="1"/>
    <xf numFmtId="167" fontId="17" fillId="0" borderId="79" xfId="4" applyNumberFormat="1" applyFont="1" applyFill="1" applyBorder="1"/>
    <xf numFmtId="167" fontId="17" fillId="0" borderId="81" xfId="4" applyNumberFormat="1" applyFont="1" applyFill="1" applyBorder="1"/>
    <xf numFmtId="167" fontId="17" fillId="0" borderId="81" xfId="10" applyNumberFormat="1" applyFont="1" applyFill="1" applyBorder="1"/>
    <xf numFmtId="167" fontId="17" fillId="0" borderId="82" xfId="10" applyNumberFormat="1" applyFont="1" applyFill="1" applyBorder="1"/>
    <xf numFmtId="167" fontId="17" fillId="0" borderId="29" xfId="4" applyNumberFormat="1" applyFont="1" applyFill="1" applyBorder="1"/>
    <xf numFmtId="17" fontId="4" fillId="0" borderId="83" xfId="3" applyNumberFormat="1" applyFill="1" applyBorder="1"/>
    <xf numFmtId="164" fontId="4" fillId="0" borderId="84" xfId="3" applyNumberFormat="1" applyFill="1" applyBorder="1"/>
    <xf numFmtId="0" fontId="17" fillId="0" borderId="85" xfId="4" applyFont="1" applyFill="1" applyBorder="1"/>
    <xf numFmtId="0" fontId="4" fillId="0" borderId="0" xfId="3" applyFill="1" applyBorder="1"/>
    <xf numFmtId="164" fontId="4" fillId="0" borderId="83" xfId="3" applyNumberFormat="1" applyFill="1" applyBorder="1"/>
    <xf numFmtId="0" fontId="22" fillId="0" borderId="59" xfId="4" applyFont="1" applyFill="1" applyBorder="1"/>
    <xf numFmtId="166" fontId="5" fillId="4" borderId="58" xfId="4" applyNumberFormat="1" applyBorder="1"/>
    <xf numFmtId="0" fontId="5" fillId="4" borderId="59" xfId="4" applyBorder="1"/>
    <xf numFmtId="17" fontId="5" fillId="4" borderId="59" xfId="4" applyNumberFormat="1" applyBorder="1"/>
    <xf numFmtId="0" fontId="5" fillId="4" borderId="85" xfId="4" applyBorder="1"/>
    <xf numFmtId="164" fontId="5" fillId="4" borderId="59" xfId="4" applyNumberFormat="1" applyBorder="1"/>
    <xf numFmtId="167" fontId="5" fillId="4" borderId="0" xfId="4" applyNumberFormat="1" applyBorder="1"/>
    <xf numFmtId="167" fontId="5" fillId="4" borderId="79" xfId="4" applyNumberFormat="1" applyBorder="1"/>
    <xf numFmtId="43" fontId="3" fillId="2" borderId="73" xfId="2" applyNumberFormat="1" applyBorder="1"/>
    <xf numFmtId="164" fontId="3" fillId="2" borderId="83" xfId="2" applyNumberFormat="1" applyBorder="1"/>
    <xf numFmtId="164" fontId="3" fillId="2" borderId="78" xfId="2" applyNumberFormat="1" applyBorder="1"/>
    <xf numFmtId="164" fontId="5" fillId="4" borderId="73" xfId="4" applyNumberFormat="1" applyBorder="1"/>
    <xf numFmtId="164" fontId="5" fillId="4" borderId="78" xfId="4" applyNumberFormat="1" applyBorder="1"/>
    <xf numFmtId="164" fontId="9" fillId="11" borderId="73" xfId="3" applyNumberFormat="1" applyFont="1" applyFill="1" applyBorder="1"/>
    <xf numFmtId="164" fontId="5" fillId="4" borderId="72" xfId="4" applyNumberFormat="1" applyBorder="1"/>
    <xf numFmtId="164" fontId="17" fillId="0" borderId="73" xfId="4" applyNumberFormat="1" applyFont="1" applyFill="1" applyBorder="1"/>
    <xf numFmtId="164" fontId="17" fillId="0" borderId="73" xfId="10" applyNumberFormat="1" applyFont="1" applyFill="1" applyBorder="1"/>
    <xf numFmtId="164" fontId="17" fillId="0" borderId="78" xfId="10" applyNumberFormat="1" applyFont="1" applyFill="1" applyBorder="1"/>
    <xf numFmtId="164" fontId="17" fillId="0" borderId="72" xfId="4" applyNumberFormat="1" applyFont="1" applyFill="1" applyBorder="1"/>
    <xf numFmtId="167" fontId="10" fillId="12" borderId="54" xfId="9" applyNumberFormat="1" applyBorder="1"/>
    <xf numFmtId="43" fontId="3" fillId="2" borderId="63" xfId="2" applyNumberFormat="1" applyBorder="1"/>
    <xf numFmtId="167" fontId="10" fillId="11" borderId="54" xfId="9" applyNumberFormat="1" applyFill="1" applyBorder="1"/>
    <xf numFmtId="167" fontId="10" fillId="12" borderId="16" xfId="9" applyNumberFormat="1" applyBorder="1"/>
    <xf numFmtId="167" fontId="3" fillId="2" borderId="84" xfId="2" applyNumberFormat="1" applyBorder="1"/>
    <xf numFmtId="167" fontId="5" fillId="4" borderId="75" xfId="4" applyNumberFormat="1" applyBorder="1"/>
    <xf numFmtId="167" fontId="9" fillId="11" borderId="63" xfId="4" applyNumberFormat="1" applyFont="1" applyFill="1" applyBorder="1"/>
    <xf numFmtId="167" fontId="3" fillId="0" borderId="29" xfId="2" applyNumberFormat="1" applyFill="1" applyBorder="1"/>
    <xf numFmtId="43" fontId="3" fillId="2" borderId="77" xfId="2" applyNumberFormat="1" applyBorder="1"/>
    <xf numFmtId="167" fontId="3" fillId="2" borderId="86" xfId="2" applyNumberFormat="1" applyBorder="1"/>
    <xf numFmtId="167" fontId="3" fillId="2" borderId="87" xfId="2" applyNumberFormat="1" applyBorder="1"/>
    <xf numFmtId="167" fontId="5" fillId="4" borderId="77" xfId="4" applyNumberFormat="1" applyBorder="1"/>
    <xf numFmtId="167" fontId="5" fillId="4" borderId="87" xfId="4" applyNumberFormat="1" applyBorder="1"/>
    <xf numFmtId="167" fontId="17" fillId="0" borderId="33" xfId="4" applyNumberFormat="1" applyFont="1" applyFill="1" applyBorder="1"/>
    <xf numFmtId="167" fontId="17" fillId="0" borderId="86" xfId="4" applyNumberFormat="1" applyFont="1" applyFill="1" applyBorder="1"/>
    <xf numFmtId="167" fontId="17" fillId="0" borderId="77" xfId="10" applyNumberFormat="1" applyFont="1" applyFill="1" applyBorder="1"/>
    <xf numFmtId="167" fontId="17" fillId="0" borderId="87" xfId="10" applyNumberFormat="1" applyFont="1" applyFill="1" applyBorder="1"/>
    <xf numFmtId="167" fontId="17" fillId="0" borderId="32" xfId="4" applyNumberFormat="1" applyFont="1" applyFill="1" applyBorder="1"/>
    <xf numFmtId="167" fontId="4" fillId="3" borderId="33" xfId="3" applyNumberFormat="1" applyBorder="1"/>
    <xf numFmtId="43" fontId="23" fillId="0" borderId="0" xfId="4" applyNumberFormat="1" applyFont="1" applyFill="1"/>
    <xf numFmtId="0" fontId="23" fillId="0" borderId="0" xfId="4" applyFont="1" applyFill="1"/>
    <xf numFmtId="166" fontId="5" fillId="4" borderId="70" xfId="4" applyNumberFormat="1" applyBorder="1"/>
    <xf numFmtId="0" fontId="5" fillId="4" borderId="64" xfId="4" applyBorder="1"/>
    <xf numFmtId="17" fontId="5" fillId="4" borderId="83" xfId="4" applyNumberFormat="1" applyBorder="1"/>
    <xf numFmtId="164" fontId="5" fillId="4" borderId="84" xfId="4" applyNumberFormat="1" applyBorder="1"/>
    <xf numFmtId="164" fontId="5" fillId="4" borderId="64" xfId="4" applyNumberFormat="1" applyBorder="1"/>
    <xf numFmtId="164" fontId="5" fillId="4" borderId="83" xfId="4" applyNumberFormat="1" applyBorder="1"/>
    <xf numFmtId="167" fontId="5" fillId="4" borderId="80" xfId="4" applyNumberFormat="1" applyBorder="1"/>
    <xf numFmtId="167" fontId="5" fillId="4" borderId="81" xfId="4" applyNumberFormat="1" applyBorder="1"/>
    <xf numFmtId="167" fontId="5" fillId="4" borderId="60" xfId="4" applyNumberFormat="1" applyBorder="1"/>
    <xf numFmtId="166" fontId="4" fillId="3" borderId="65" xfId="3" applyNumberFormat="1" applyBorder="1"/>
    <xf numFmtId="0" fontId="4" fillId="3" borderId="56" xfId="3" applyBorder="1"/>
    <xf numFmtId="17" fontId="4" fillId="3" borderId="56" xfId="3" applyNumberFormat="1" applyBorder="1"/>
    <xf numFmtId="164" fontId="4" fillId="3" borderId="56" xfId="3" applyNumberFormat="1" applyBorder="1"/>
    <xf numFmtId="164" fontId="4" fillId="3" borderId="73" xfId="3" applyNumberFormat="1" applyBorder="1"/>
    <xf numFmtId="167" fontId="4" fillId="3" borderId="81" xfId="3" applyNumberFormat="1" applyBorder="1"/>
    <xf numFmtId="169" fontId="4" fillId="3" borderId="56" xfId="3" applyNumberFormat="1" applyBorder="1"/>
    <xf numFmtId="167" fontId="4" fillId="3" borderId="77" xfId="3" applyNumberFormat="1" applyBorder="1"/>
    <xf numFmtId="167" fontId="4" fillId="3" borderId="63" xfId="3" applyNumberFormat="1" applyBorder="1"/>
    <xf numFmtId="166" fontId="4" fillId="3" borderId="67" xfId="3" applyNumberFormat="1" applyBorder="1"/>
    <xf numFmtId="0" fontId="4" fillId="3" borderId="68" xfId="3" applyBorder="1"/>
    <xf numFmtId="17" fontId="4" fillId="3" borderId="68" xfId="3" applyNumberFormat="1" applyBorder="1"/>
    <xf numFmtId="164" fontId="4" fillId="3" borderId="68" xfId="3" applyNumberFormat="1" applyBorder="1"/>
    <xf numFmtId="164" fontId="4" fillId="3" borderId="78" xfId="3" applyNumberFormat="1" applyBorder="1"/>
    <xf numFmtId="167" fontId="4" fillId="3" borderId="87" xfId="3" applyNumberFormat="1" applyBorder="1"/>
    <xf numFmtId="167" fontId="4" fillId="3" borderId="29" xfId="3" applyNumberFormat="1" applyBorder="1"/>
    <xf numFmtId="167" fontId="4" fillId="3" borderId="82" xfId="3" applyNumberFormat="1" applyBorder="1"/>
    <xf numFmtId="167" fontId="4" fillId="3" borderId="66" xfId="3" applyNumberFormat="1" applyBorder="1"/>
    <xf numFmtId="167" fontId="4" fillId="3" borderId="69" xfId="3" applyNumberFormat="1" applyBorder="1"/>
    <xf numFmtId="167" fontId="5" fillId="4" borderId="86" xfId="4" applyNumberFormat="1" applyBorder="1"/>
    <xf numFmtId="17" fontId="5" fillId="4" borderId="64" xfId="4" applyNumberFormat="1" applyBorder="1"/>
    <xf numFmtId="17" fontId="0" fillId="0" borderId="32" xfId="0" applyNumberFormat="1" applyBorder="1" applyAlignment="1">
      <alignment horizontal="center" vertical="center" textRotation="90"/>
    </xf>
    <xf numFmtId="0" fontId="0" fillId="0" borderId="33" xfId="0" applyBorder="1" applyAlignment="1">
      <alignment horizontal="center" vertical="center" textRotation="90"/>
    </xf>
    <xf numFmtId="0" fontId="0" fillId="0" borderId="34" xfId="0" applyBorder="1" applyAlignment="1">
      <alignment horizontal="center" vertical="center" textRotation="90"/>
    </xf>
    <xf numFmtId="17" fontId="0" fillId="0" borderId="33" xfId="0" applyNumberFormat="1" applyBorder="1" applyAlignment="1">
      <alignment horizontal="center" vertical="center" textRotation="90"/>
    </xf>
    <xf numFmtId="17" fontId="0" fillId="0" borderId="34" xfId="0" applyNumberFormat="1" applyBorder="1" applyAlignment="1">
      <alignment horizontal="center" vertical="center" textRotation="90"/>
    </xf>
    <xf numFmtId="0" fontId="15" fillId="4" borderId="0" xfId="4" applyFont="1" applyAlignment="1">
      <alignment horizontal="center"/>
    </xf>
    <xf numFmtId="166" fontId="13" fillId="0" borderId="11" xfId="0" applyNumberFormat="1" applyFont="1" applyBorder="1" applyAlignment="1">
      <alignment horizontal="center"/>
    </xf>
    <xf numFmtId="17" fontId="4" fillId="3" borderId="33" xfId="3" applyNumberFormat="1" applyBorder="1" applyAlignment="1">
      <alignment horizontal="center" vertical="center" textRotation="90"/>
    </xf>
    <xf numFmtId="0" fontId="4" fillId="3" borderId="33" xfId="3" applyBorder="1" applyAlignment="1">
      <alignment horizontal="center" vertical="center" textRotation="90"/>
    </xf>
    <xf numFmtId="0" fontId="4" fillId="3" borderId="34" xfId="3" applyBorder="1" applyAlignment="1">
      <alignment horizontal="center" vertical="center" textRotation="90"/>
    </xf>
    <xf numFmtId="17" fontId="5" fillId="4" borderId="32" xfId="4" applyNumberFormat="1" applyBorder="1" applyAlignment="1">
      <alignment horizontal="center" vertical="center" textRotation="90"/>
    </xf>
    <xf numFmtId="0" fontId="5" fillId="4" borderId="33" xfId="4" applyBorder="1" applyAlignment="1">
      <alignment horizontal="center" vertical="center" textRotation="90"/>
    </xf>
    <xf numFmtId="0" fontId="5" fillId="4" borderId="34" xfId="4" applyBorder="1" applyAlignment="1">
      <alignment horizontal="center" vertical="center" textRotation="90"/>
    </xf>
    <xf numFmtId="17" fontId="5" fillId="4" borderId="33" xfId="4" applyNumberFormat="1" applyBorder="1" applyAlignment="1">
      <alignment horizontal="center" vertical="center" textRotation="90"/>
    </xf>
    <xf numFmtId="17" fontId="0" fillId="0" borderId="23" xfId="0" applyNumberFormat="1" applyBorder="1" applyAlignment="1">
      <alignment horizontal="center" vertical="center" textRotation="90"/>
    </xf>
    <xf numFmtId="0" fontId="0" fillId="0" borderId="26" xfId="0" applyBorder="1" applyAlignment="1">
      <alignment horizontal="center" vertical="center" textRotation="90"/>
    </xf>
    <xf numFmtId="0" fontId="0" fillId="0" borderId="28" xfId="0" applyBorder="1" applyAlignment="1">
      <alignment horizontal="center" vertical="center" textRotation="90"/>
    </xf>
    <xf numFmtId="0" fontId="15" fillId="4" borderId="35" xfId="4" applyFont="1" applyBorder="1" applyAlignment="1">
      <alignment horizontal="center"/>
    </xf>
    <xf numFmtId="0" fontId="2" fillId="4" borderId="1" xfId="1" applyFill="1" applyAlignment="1">
      <alignment horizontal="left"/>
    </xf>
  </cellXfs>
  <cellStyles count="11">
    <cellStyle name="40% - Accent1" xfId="9" builtinId="31"/>
    <cellStyle name="60% - Accent4" xfId="5" builtinId="44"/>
    <cellStyle name="Bad" xfId="3" builtinId="27"/>
    <cellStyle name="Calculation" xfId="10" builtinId="22"/>
    <cellStyle name="Comma" xfId="7" builtinId="3"/>
    <cellStyle name="Currency" xfId="8" builtinId="4"/>
    <cellStyle name="Good" xfId="2" builtinId="26"/>
    <cellStyle name="Heading 1" xfId="1" builtinId="16"/>
    <cellStyle name="Neutral" xfId="4" builtinId="28"/>
    <cellStyle name="Normal" xfId="0" builtinId="0"/>
    <cellStyle name="Percent" xfId="6" builtinId="5"/>
  </cellStyles>
  <dxfs count="41">
    <dxf>
      <numFmt numFmtId="164" formatCode="_(&quot;TRY&quot;* #,##0.00_);_(&quot;TRY&quot;* \(#,##0.00\);_(&quot;TRY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numFmt numFmtId="166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</dxf>
    <dxf>
      <numFmt numFmtId="167" formatCode="_([$$-409]* #,##0.00_);_([$$-409]* \(#,##0.00\);_([$$-409]* &quot;-&quot;??_);_(@_)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66" formatCode="dd/mm/yyyy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164" formatCode="_(&quot;TRY&quot;* #,##0.00_);_(&quot;TRY&quot;* \(#,##0.00\);_(&quot;TRY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numFmt numFmtId="166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color rgb="FF006100"/>
      </font>
      <numFmt numFmtId="164" formatCode="_(&quot;TRY&quot;* #,##0.00_);_(&quot;TRY&quot;* \(#,##0.00\);_(&quot;TRY&quot;* &quot;-&quot;??_);_(@_)"/>
      <fill>
        <patternFill patternType="solid">
          <fgColor theme="4" tint="0.79998168889431442"/>
          <bgColor theme="4" tint="0.79998168889431442"/>
        </patternFill>
      </fill>
    </dxf>
    <dxf>
      <font>
        <color rgb="FF006100"/>
      </font>
      <fill>
        <patternFill patternType="solid">
          <fgColor theme="4" tint="0.79998168889431442"/>
          <bgColor theme="4" tint="0.79998168889431442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color rgb="FF006100"/>
      </font>
      <fill>
        <patternFill patternType="solid">
          <fgColor theme="4" tint="0.79998168889431442"/>
          <bgColor theme="4" tint="0.79998168889431442"/>
        </patternFill>
      </fill>
    </dxf>
    <dxf>
      <numFmt numFmtId="165" formatCode="_([$TRY]\ * #,##0.00_);_([$TRY]\ * \(#,##0.00\);_([$TRY]\ * &quot;-&quot;??_);_(@_)"/>
      <fill>
        <patternFill patternType="none">
          <fgColor indexed="64"/>
          <bgColor indexed="65"/>
        </patternFill>
      </fill>
    </dxf>
    <dxf>
      <font>
        <color rgb="FF006100"/>
      </font>
      <numFmt numFmtId="166" formatCode="dd/mm/yyyy"/>
      <fill>
        <patternFill patternType="solid">
          <fgColor theme="4" tint="0.79998168889431442"/>
          <bgColor theme="4" tint="0.79998168889431442"/>
        </patternFill>
      </fill>
    </dxf>
    <dxf>
      <fill>
        <patternFill patternType="none">
          <fgColor indexed="64"/>
          <bgColor auto="1"/>
        </patternFill>
      </fill>
    </dxf>
    <dxf>
      <font>
        <color rgb="FF9C5700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169" formatCode="_(* #,##0.0000_);_(* \(#,##0.0000\);_(* &quot;-&quot;??_);_(@_)"/>
      <fill>
        <patternFill patternType="none">
          <fgColor indexed="64"/>
          <bgColor indexed="65"/>
        </patternFill>
      </fill>
    </dxf>
    <dxf>
      <numFmt numFmtId="167" formatCode="_([$$-409]* #,##0.00_);_([$$-409]* \(#,##0.00\);_([$$-409]* &quot;-&quot;??_);_(@_)"/>
      <fill>
        <patternFill patternType="none">
          <fgColor indexed="64"/>
          <bgColor indexed="65"/>
        </patternFill>
      </fill>
    </dxf>
    <dxf>
      <numFmt numFmtId="167" formatCode="_([$$-409]* #,##0.00_);_([$$-409]* \(#,##0.00\);_([$$-409]* &quot;-&quot;??_);_(@_)"/>
      <fill>
        <patternFill patternType="none">
          <fgColor indexed="64"/>
          <bgColor indexed="65"/>
        </patternFill>
      </fill>
    </dxf>
    <dxf>
      <numFmt numFmtId="167" formatCode="_([$$-409]* #,##0.00_);_([$$-409]* \(#,##0.00\);_([$$-409]* &quot;-&quot;??_);_(@_)"/>
      <fill>
        <patternFill patternType="none">
          <fgColor indexed="64"/>
          <bgColor indexed="65"/>
        </patternFill>
      </fill>
    </dxf>
    <dxf>
      <numFmt numFmtId="167" formatCode="_([$$-409]* #,##0.00_);_([$$-409]* \(#,##0.00\);_([$$-409]* &quot;-&quot;??_);_(@_)"/>
      <fill>
        <patternFill patternType="none">
          <fgColor indexed="64"/>
          <bgColor indexed="65"/>
        </patternFill>
      </fill>
      <border diagonalUp="0" diagonalDown="0">
        <left style="medium">
          <color indexed="64"/>
        </left>
        <right style="medium">
          <color indexed="64"/>
        </right>
        <vertical/>
      </border>
    </dxf>
    <dxf>
      <numFmt numFmtId="164" formatCode="_(&quot;TRY&quot;* #,##0.00_);_(&quot;TRY&quot;* \(#,##0.00\);_(&quot;TRY&quot;* &quot;-&quot;??_);_(@_)"/>
    </dxf>
    <dxf>
      <numFmt numFmtId="164" formatCode="_(&quot;TRY&quot;* #,##0.00_);_(&quot;TRY&quot;* \(#,##0.00\);_(&quot;TRY&quot;* &quot;-&quot;??_);_(@_)"/>
    </dxf>
    <dxf>
      <numFmt numFmtId="164" formatCode="_(&quot;TRY&quot;* #,##0.00_);_(&quot;TRY&quot;* \(#,##0.00\);_(&quot;TRY&quot;* &quot;-&quot;??_);_(@_)"/>
    </dxf>
    <dxf>
      <numFmt numFmtId="22" formatCode="mmm/yy"/>
    </dxf>
    <dxf>
      <numFmt numFmtId="166" formatCode="dd/mm/yyyy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7" formatCode="_([$$-409]* #,##0.00_);_([$$-409]* \(#,##0.00\);_([$$-409]* &quot;-&quot;??_);_(@_)"/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F7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44B2D54-F52E-F245-ACCE-1AB0139293D3}" name="Table2" displayName="Table2" ref="C3:N360" totalsRowShown="0" headerRowDxfId="40" dataDxfId="39">
  <autoFilter ref="C3:N360" xr:uid="{544B2D54-F52E-F245-ACCE-1AB0139293D3}"/>
  <tableColumns count="12">
    <tableColumn id="1" xr3:uid="{81B031FC-9A81-A944-B842-650314806425}" name="Islem Tarihi" dataDxfId="38" dataCellStyle="Bad"/>
    <tableColumn id="2" xr3:uid="{77FD33E8-F7F3-0C43-9124-1FFECB8508DA}" name="Aciklama" dataCellStyle="Bad"/>
    <tableColumn id="11" xr3:uid="{5D70DAF4-0A8B-B34E-B04F-D284E72BB1F0}" name="Donem" dataDxfId="37" dataCellStyle="Bad"/>
    <tableColumn id="3" xr3:uid="{6FF5D607-8C46-E444-8923-FA699D3C9934}" name="Odeme Kime Yapildi?" dataCellStyle="Bad"/>
    <tableColumn id="4" xr3:uid="{719340B5-A317-5B42-8682-C55B1B017434}" name="Gelen Para_x000a_(TRY)" dataDxfId="36" dataCellStyle="Bad"/>
    <tableColumn id="5" xr3:uid="{086F9C90-C873-9E41-93C5-F85BAB1739EA}" name="Selim'e yapilmasi gereken odeme (TRY)" dataDxfId="35" dataCellStyle="Bad"/>
    <tableColumn id="6" xr3:uid="{C22B1861-2A52-3A4D-A549-2CE0E5BAEDD8}" name="Can'a yapilmasi gereken odeme (TRY)" dataDxfId="34" dataCellStyle="Bad"/>
    <tableColumn id="7" xr3:uid="{9EB736D9-6397-F24D-9B6C-F9897913A983}" name="Gelen Para _x000a_(USD)" dataDxfId="33"/>
    <tableColumn id="8" xr3:uid="{C7A891B4-9D89-A447-B8F4-9070BE3018DB}" name="Selim'e yapilmasi gereken odeme (USD)" dataDxfId="32"/>
    <tableColumn id="9" xr3:uid="{D18825BC-D560-5949-AF90-9B6B9BB7DE1F}" name="Can'a yapilmasi gereken odeme (USD)" dataDxfId="31"/>
    <tableColumn id="12" xr3:uid="{D4E96989-7BBC-F646-8A0B-AC57699F05EB}" name="Hangi hesaplasmaya dahil edildi?" dataDxfId="30" dataCellStyle="Good"/>
    <tableColumn id="10" xr3:uid="{0332F468-1690-014F-9BAA-B95ED6CDB403}" name="Kur" dataDxfId="29" dataCellStyle="Comm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0C57431-505A-2043-B11D-7682AFBFAC86}" name="Table149" displayName="Table149" ref="B4:J254" totalsRowShown="0" headerRowDxfId="28">
  <autoFilter ref="B4:J254" xr:uid="{014E5309-1CF5-294D-81C1-D9364A2CC618}"/>
  <tableColumns count="9">
    <tableColumn id="8" xr3:uid="{FC83739F-95A8-E648-AB68-A5AA6683E443}" name="Sira No" dataDxfId="27" dataCellStyle="Neutral"/>
    <tableColumn id="1" xr3:uid="{6397BF87-BBFD-3941-82C7-FA4C1113D5FC}" name="Donem" dataDxfId="26" dataCellStyle="Neutral"/>
    <tableColumn id="2" xr3:uid="{3FDA79E4-C1FE-ED49-9B8E-F033D6D67830}" name="Tarih" dataDxfId="25" dataCellStyle="Good"/>
    <tableColumn id="3" xr3:uid="{0C3F263A-9D9D-F242-BD35-45505C1E14E3}" name="Miktar" dataDxfId="24" dataCellStyle="Neutral"/>
    <tableColumn id="4" xr3:uid="{FA2CB92A-8FED-5D42-9696-CD5179DAB742}" name="Aciklama" dataDxfId="23" dataCellStyle="Good"/>
    <tableColumn id="7" xr3:uid="{19ACED1C-9293-F447-A180-71918379B225}" name="Aciklama (Ek)" dataDxfId="22" dataCellStyle="Neutral"/>
    <tableColumn id="9" xr3:uid="{FC2A6C3D-1DAC-374B-96AF-8ADD81566EE1}" name="Odeme yapilan kisi" dataDxfId="21" dataCellStyle="Neutral"/>
    <tableColumn id="6" xr3:uid="{542A30A7-7BA7-044D-8D37-4294EC76CC37}" name="Kiraci" dataDxfId="20" dataCellStyle="Good"/>
    <tableColumn id="5" xr3:uid="{3998A79B-9F25-A945-9603-74676A67F55D}" name="Kalan Alacak / Borc" dataDxfId="19" dataCellStyle="Goo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FBA340-D8A9-6140-9242-629DEC95040B}" name="Table1" displayName="Table1" ref="B4:J214" totalsRowShown="0" headerRowDxfId="18" dataCellStyle="Neutral">
  <autoFilter ref="B4:J214" xr:uid="{F8FBA340-D8A9-6140-9242-629DEC95040B}"/>
  <tableColumns count="9">
    <tableColumn id="8" xr3:uid="{426371F0-C542-3646-B287-99FE2E30E090}" name="Sira No" dataCellStyle="Neutral"/>
    <tableColumn id="1" xr3:uid="{5AD8C6BF-2023-6C42-A3A7-A336F6925317}" name="Donem" dataCellStyle="Neutral"/>
    <tableColumn id="2" xr3:uid="{F8A91AC1-9597-ED48-B2CD-9F1AF37A8A1C}" name="Tarih" dataDxfId="17" dataCellStyle="Neutral"/>
    <tableColumn id="3" xr3:uid="{7BB0B3C9-B8C8-BD45-9BDC-37EAD4F39A2F}" name="Miktar" dataCellStyle="Neutral"/>
    <tableColumn id="4" xr3:uid="{D070BD35-6E6A-C449-B695-3E314F1E9423}" name="Aciklama" dataCellStyle="Neutral"/>
    <tableColumn id="7" xr3:uid="{03B5209B-CBBD-8F49-9A94-7C92F4502178}" name="Aciklama (Ek)" dataCellStyle="Neutral"/>
    <tableColumn id="9" xr3:uid="{69C46053-230B-9A40-8A44-11DDF9BBBB7B}" name="Odeme yapilan kisi" dataDxfId="16" dataCellStyle="Neutral"/>
    <tableColumn id="6" xr3:uid="{A81A8E29-3BBD-F245-AF31-48FEF481E7EF}" name="Kiraci" dataCellStyle="Neutral"/>
    <tableColumn id="5" xr3:uid="{BBE788C5-CDCF-6C47-B58C-423E91113F58}" name="Kalan Alacak / Borc" dataDxfId="15" dataCellStyle="Neutral">
      <calculatedColumnFormula>E5+J4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75C8E8E-30D3-7D42-A993-97F0C52718BE}" name="Table1512" displayName="Table1512" ref="B4:J200" totalsRowShown="0" headerRowDxfId="14" dataDxfId="13" dataCellStyle="Neutral">
  <autoFilter ref="B4:J200" xr:uid="{075C8E8E-30D3-7D42-A993-97F0C52718BE}"/>
  <tableColumns count="9">
    <tableColumn id="8" xr3:uid="{04F85DFE-F5F6-C946-8118-2E79F0DE9FBD}" name="Sira No" dataDxfId="12" dataCellStyle="Neutral"/>
    <tableColumn id="1" xr3:uid="{3AE7E97D-D617-5145-A083-D5F5884BFC2E}" name="Donem" dataDxfId="11" dataCellStyle="Neutral"/>
    <tableColumn id="2" xr3:uid="{A2E5FDE9-80F5-B540-8109-2BA42F286A4A}" name="Tarih" dataDxfId="10" dataCellStyle="Neutral"/>
    <tableColumn id="3" xr3:uid="{2A1041C5-A9AB-9541-8968-8423C8513360}" name="Miktar" dataDxfId="9" dataCellStyle="Neutral"/>
    <tableColumn id="4" xr3:uid="{E057C41E-3ACF-304E-BEB1-1B696E7664D2}" name="Aciklama" dataDxfId="8" dataCellStyle="Neutral"/>
    <tableColumn id="7" xr3:uid="{D0537878-984A-A940-9139-46C0204C43A2}" name="Aciklama (Ek)" dataDxfId="7" dataCellStyle="Neutral"/>
    <tableColumn id="9" xr3:uid="{86165B14-D5B5-084B-82B4-8E2056A9BC0D}" name="Odeme yapilan kisi" dataDxfId="6" dataCellStyle="Neutral"/>
    <tableColumn id="6" xr3:uid="{334FF36A-C0DA-7C4B-A4F8-E28A14BD701E}" name="Kiraci" dataDxfId="5" dataCellStyle="Neutral"/>
    <tableColumn id="5" xr3:uid="{E6DAEFEA-B145-F048-81AE-0D6450AEEB7E}" name="Kalan Alacak / Borc" dataDxfId="4" dataCellStyle="Neutra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E2014F09-D7A0-9440-93A4-106EE42F0500}" name="Table156781317" displayName="Table156781317" ref="B4:J203" totalsRowShown="0" headerRowDxfId="3" dataCellStyle="Neutral">
  <autoFilter ref="B4:J203" xr:uid="{99BBFD96-3575-8F47-8D8E-D09599AFF7B3}"/>
  <sortState xmlns:xlrd2="http://schemas.microsoft.com/office/spreadsheetml/2017/richdata2" ref="B5:I105">
    <sortCondition ref="C5:C105"/>
  </sortState>
  <tableColumns count="9">
    <tableColumn id="8" xr3:uid="{6E978667-65F3-2542-AAB4-FBA2E32E8970}" name="Sira No" dataCellStyle="Neutral"/>
    <tableColumn id="1" xr3:uid="{3E792A26-F39E-6E46-BCBE-68D6055775FA}" name="Donem" dataCellStyle="Neutral"/>
    <tableColumn id="2" xr3:uid="{C6E98CCB-1203-3040-9B0C-FE52C2F6DEFE}" name="Tarih" dataDxfId="2" dataCellStyle="Neutral"/>
    <tableColumn id="3" xr3:uid="{E44708B3-360F-BD47-909B-91D847D8E2E0}" name="Miktar" dataCellStyle="Neutral"/>
    <tableColumn id="4" xr3:uid="{2E1704C8-CC91-A649-9499-6B2906B3712F}" name="Aciklama" dataCellStyle="Neutral"/>
    <tableColumn id="7" xr3:uid="{8388CA5C-393D-D641-BC55-6BF0759D6C7C}" name="Aciklama (Ek)" dataCellStyle="Neutral"/>
    <tableColumn id="9" xr3:uid="{3AF998E1-72C1-0147-A041-032D19EA8206}" name="Odeme yapilan kisi" dataDxfId="1"/>
    <tableColumn id="6" xr3:uid="{3BF6BFB0-8F21-824E-874C-63304DE5CC0A}" name="Kiraci" dataCellStyle="Neutral"/>
    <tableColumn id="5" xr3:uid="{DC55B78F-BF5A-864C-8896-5A96C92796C0}" name="Kalan Alacak / Borc " dataDxfId="0" dataCellStyle="Neutral">
      <calculatedColumnFormula>Table156781317[[#This Row],[Miktar]]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581F5-4122-DB42-B9FD-C33AF7F4A87D}">
  <sheetPr>
    <tabColor theme="4"/>
  </sheetPr>
  <dimension ref="A1:P391"/>
  <sheetViews>
    <sheetView topLeftCell="A273" zoomScaleNormal="100" workbookViewId="0">
      <selection activeCell="D301" sqref="D301"/>
    </sheetView>
  </sheetViews>
  <sheetFormatPr baseColWidth="10" defaultRowHeight="16" x14ac:dyDescent="0.2"/>
  <cols>
    <col min="3" max="3" width="11.6640625" style="85" customWidth="1"/>
    <col min="4" max="4" width="91.83203125" bestFit="1" customWidth="1"/>
    <col min="5" max="5" width="11.83203125" bestFit="1" customWidth="1"/>
    <col min="6" max="6" width="19" customWidth="1"/>
    <col min="7" max="7" width="15.1640625" hidden="1" customWidth="1"/>
    <col min="8" max="8" width="24.6640625" hidden="1" customWidth="1"/>
    <col min="9" max="9" width="31.83203125" hidden="1" customWidth="1"/>
    <col min="10" max="10" width="15.1640625" style="110" customWidth="1"/>
    <col min="11" max="11" width="34.33203125" style="110" customWidth="1"/>
    <col min="12" max="12" width="33" style="110" customWidth="1"/>
    <col min="13" max="13" width="56.6640625" style="110" bestFit="1" customWidth="1"/>
    <col min="14" max="14" width="14.6640625" style="110" customWidth="1"/>
    <col min="15" max="15" width="59.33203125" style="125" customWidth="1"/>
    <col min="16" max="16" width="19.5" style="125" bestFit="1" customWidth="1"/>
  </cols>
  <sheetData>
    <row r="1" spans="1:16" x14ac:dyDescent="0.2">
      <c r="C1" s="94"/>
      <c r="D1" s="49"/>
      <c r="E1" s="49"/>
      <c r="F1" s="49"/>
      <c r="G1" s="49"/>
      <c r="H1" s="49"/>
      <c r="I1" s="49"/>
    </row>
    <row r="2" spans="1:16" x14ac:dyDescent="0.2">
      <c r="C2" s="94"/>
      <c r="D2" s="49"/>
      <c r="E2" s="49"/>
      <c r="F2" s="49"/>
      <c r="G2" s="49"/>
      <c r="H2" s="49"/>
      <c r="I2" s="49"/>
      <c r="J2" s="111"/>
      <c r="K2" s="111"/>
      <c r="L2" s="111"/>
      <c r="M2" s="111"/>
      <c r="N2" s="111"/>
    </row>
    <row r="3" spans="1:16" s="114" customFormat="1" ht="33" thickBot="1" x14ac:dyDescent="0.25">
      <c r="C3" s="115" t="s">
        <v>92</v>
      </c>
      <c r="D3" s="116" t="s">
        <v>9</v>
      </c>
      <c r="E3" s="116" t="s">
        <v>6</v>
      </c>
      <c r="F3" s="116" t="s">
        <v>93</v>
      </c>
      <c r="G3" s="116" t="s">
        <v>134</v>
      </c>
      <c r="H3" s="116" t="s">
        <v>130</v>
      </c>
      <c r="I3" s="116" t="s">
        <v>131</v>
      </c>
      <c r="J3" s="117" t="s">
        <v>135</v>
      </c>
      <c r="K3" s="117" t="s">
        <v>132</v>
      </c>
      <c r="L3" s="117" t="s">
        <v>133</v>
      </c>
      <c r="M3" s="117" t="s">
        <v>411</v>
      </c>
      <c r="N3" s="117" t="s">
        <v>162</v>
      </c>
      <c r="O3" s="148"/>
      <c r="P3" s="148"/>
    </row>
    <row r="4" spans="1:16" hidden="1" x14ac:dyDescent="0.2">
      <c r="A4" t="s">
        <v>154</v>
      </c>
      <c r="C4" s="246">
        <v>44162</v>
      </c>
      <c r="D4" s="247" t="s">
        <v>254</v>
      </c>
      <c r="E4" s="248"/>
      <c r="F4" s="247" t="s">
        <v>255</v>
      </c>
      <c r="G4" s="249">
        <v>1081.5</v>
      </c>
      <c r="H4" s="3">
        <f t="shared" ref="H4:H7" si="0">IF(F4="Can",G4*0.65,0)</f>
        <v>0</v>
      </c>
      <c r="I4" s="3">
        <f t="shared" ref="I4:I14" si="1">IF(F4="Selim",G4*0.35,0)</f>
        <v>0</v>
      </c>
      <c r="J4" s="250"/>
      <c r="K4" s="112"/>
      <c r="L4" s="112"/>
      <c r="M4" s="112"/>
      <c r="N4" s="197"/>
    </row>
    <row r="5" spans="1:16" hidden="1" x14ac:dyDescent="0.2">
      <c r="A5" t="s">
        <v>154</v>
      </c>
      <c r="C5" s="246">
        <v>44169</v>
      </c>
      <c r="D5" s="247" t="s">
        <v>256</v>
      </c>
      <c r="E5" s="248"/>
      <c r="F5" s="247" t="s">
        <v>90</v>
      </c>
      <c r="G5" s="249">
        <v>4000</v>
      </c>
      <c r="H5" s="3">
        <f t="shared" si="0"/>
        <v>2600</v>
      </c>
      <c r="I5" s="3">
        <f t="shared" si="1"/>
        <v>0</v>
      </c>
      <c r="J5" s="224"/>
      <c r="K5" s="112"/>
      <c r="L5" s="112"/>
      <c r="M5" s="112"/>
      <c r="N5" s="197"/>
    </row>
    <row r="6" spans="1:16" hidden="1" x14ac:dyDescent="0.2">
      <c r="A6" t="s">
        <v>154</v>
      </c>
      <c r="C6" s="246">
        <v>44169</v>
      </c>
      <c r="D6" s="247" t="s">
        <v>257</v>
      </c>
      <c r="E6" s="248"/>
      <c r="F6" s="247" t="s">
        <v>255</v>
      </c>
      <c r="G6" s="249">
        <v>13650</v>
      </c>
      <c r="H6" s="3">
        <f t="shared" si="0"/>
        <v>0</v>
      </c>
      <c r="I6" s="3">
        <f t="shared" si="1"/>
        <v>0</v>
      </c>
      <c r="J6" s="224"/>
      <c r="K6" s="112"/>
      <c r="L6" s="112"/>
      <c r="M6" s="112"/>
      <c r="N6" s="197"/>
    </row>
    <row r="7" spans="1:16" hidden="1" x14ac:dyDescent="0.2">
      <c r="A7" t="s">
        <v>154</v>
      </c>
      <c r="C7" s="246">
        <v>44169</v>
      </c>
      <c r="D7" s="247" t="s">
        <v>258</v>
      </c>
      <c r="E7" s="248"/>
      <c r="F7" s="247" t="s">
        <v>255</v>
      </c>
      <c r="G7" s="249">
        <v>6489</v>
      </c>
      <c r="H7" s="3">
        <f t="shared" si="0"/>
        <v>0</v>
      </c>
      <c r="I7" s="3">
        <f t="shared" si="1"/>
        <v>0</v>
      </c>
      <c r="J7" s="224"/>
      <c r="K7" s="112"/>
      <c r="L7" s="112"/>
      <c r="M7" s="112"/>
      <c r="N7" s="197"/>
    </row>
    <row r="8" spans="1:16" hidden="1" x14ac:dyDescent="0.2">
      <c r="A8" t="s">
        <v>154</v>
      </c>
      <c r="C8" s="246">
        <v>44173</v>
      </c>
      <c r="D8" s="247" t="s">
        <v>259</v>
      </c>
      <c r="E8" s="248"/>
      <c r="F8" s="247" t="s">
        <v>90</v>
      </c>
      <c r="G8" s="249">
        <v>36000</v>
      </c>
      <c r="H8" s="3">
        <f>IF(F8="Can",G8*0.75,0)</f>
        <v>27000</v>
      </c>
      <c r="I8" s="3">
        <f t="shared" si="1"/>
        <v>0</v>
      </c>
      <c r="J8" s="224"/>
      <c r="K8" s="112"/>
      <c r="L8" s="112"/>
      <c r="M8" s="112"/>
      <c r="N8" s="197"/>
    </row>
    <row r="9" spans="1:16" hidden="1" x14ac:dyDescent="0.2">
      <c r="A9" t="s">
        <v>154</v>
      </c>
      <c r="C9" s="246">
        <v>44173</v>
      </c>
      <c r="D9" s="247" t="s">
        <v>260</v>
      </c>
      <c r="E9" s="248"/>
      <c r="F9" s="247" t="s">
        <v>90</v>
      </c>
      <c r="G9" s="249">
        <v>15600</v>
      </c>
      <c r="H9" s="3">
        <f t="shared" ref="H9:H15" si="2">IF(F9="Can",G9*0.65,0)</f>
        <v>10140</v>
      </c>
      <c r="I9" s="3">
        <f t="shared" si="1"/>
        <v>0</v>
      </c>
      <c r="J9" s="224"/>
      <c r="K9" s="112"/>
      <c r="L9" s="112"/>
      <c r="M9" s="112"/>
      <c r="N9" s="197"/>
    </row>
    <row r="10" spans="1:16" hidden="1" x14ac:dyDescent="0.2">
      <c r="A10" t="s">
        <v>154</v>
      </c>
      <c r="C10" s="246">
        <v>44173</v>
      </c>
      <c r="D10" s="247" t="s">
        <v>261</v>
      </c>
      <c r="E10" s="248"/>
      <c r="F10" s="247" t="s">
        <v>89</v>
      </c>
      <c r="G10" s="249">
        <v>9000</v>
      </c>
      <c r="H10" s="3">
        <f t="shared" si="2"/>
        <v>0</v>
      </c>
      <c r="I10" s="3">
        <f t="shared" si="1"/>
        <v>3150</v>
      </c>
      <c r="J10" s="224"/>
      <c r="K10" s="112"/>
      <c r="L10" s="112"/>
      <c r="M10" s="112"/>
      <c r="N10" s="197"/>
    </row>
    <row r="11" spans="1:16" hidden="1" x14ac:dyDescent="0.2">
      <c r="A11" t="s">
        <v>154</v>
      </c>
      <c r="C11" s="246">
        <v>44187</v>
      </c>
      <c r="D11" s="247" t="s">
        <v>260</v>
      </c>
      <c r="E11" s="248"/>
      <c r="F11" s="247" t="s">
        <v>90</v>
      </c>
      <c r="G11" s="249">
        <v>15600</v>
      </c>
      <c r="H11" s="3">
        <f t="shared" si="2"/>
        <v>10140</v>
      </c>
      <c r="I11" s="3">
        <f t="shared" si="1"/>
        <v>0</v>
      </c>
      <c r="J11" s="224"/>
      <c r="K11" s="112"/>
      <c r="L11" s="112"/>
      <c r="M11" s="112"/>
      <c r="N11" s="197"/>
    </row>
    <row r="12" spans="1:16" hidden="1" x14ac:dyDescent="0.2">
      <c r="A12" t="s">
        <v>154</v>
      </c>
      <c r="C12" s="246">
        <v>44196</v>
      </c>
      <c r="D12" s="247" t="s">
        <v>262</v>
      </c>
      <c r="E12" s="248"/>
      <c r="F12" s="247" t="s">
        <v>90</v>
      </c>
      <c r="G12" s="249">
        <v>4000</v>
      </c>
      <c r="H12" s="3">
        <f t="shared" si="2"/>
        <v>2600</v>
      </c>
      <c r="I12" s="3">
        <f t="shared" si="1"/>
        <v>0</v>
      </c>
      <c r="J12" s="224"/>
      <c r="K12" s="112"/>
      <c r="L12" s="112"/>
      <c r="M12" s="112"/>
      <c r="N12" s="197"/>
    </row>
    <row r="13" spans="1:16" hidden="1" x14ac:dyDescent="0.2">
      <c r="A13" t="s">
        <v>154</v>
      </c>
      <c r="C13" s="246">
        <v>44201</v>
      </c>
      <c r="D13" s="247" t="s">
        <v>263</v>
      </c>
      <c r="E13" s="248"/>
      <c r="F13" s="247" t="s">
        <v>255</v>
      </c>
      <c r="G13" s="249">
        <v>13650</v>
      </c>
      <c r="H13" s="3">
        <f t="shared" si="2"/>
        <v>0</v>
      </c>
      <c r="I13" s="3">
        <f t="shared" si="1"/>
        <v>0</v>
      </c>
      <c r="J13" s="224"/>
      <c r="K13" s="112"/>
      <c r="L13" s="112"/>
      <c r="M13" s="112"/>
      <c r="N13" s="197"/>
    </row>
    <row r="14" spans="1:16" hidden="1" x14ac:dyDescent="0.2">
      <c r="A14" t="s">
        <v>154</v>
      </c>
      <c r="C14" s="246">
        <v>44202</v>
      </c>
      <c r="D14" s="247" t="s">
        <v>264</v>
      </c>
      <c r="E14" s="248"/>
      <c r="F14" s="247" t="s">
        <v>89</v>
      </c>
      <c r="G14" s="249">
        <v>6000</v>
      </c>
      <c r="H14" s="3">
        <f t="shared" si="2"/>
        <v>0</v>
      </c>
      <c r="I14" s="3">
        <f t="shared" si="1"/>
        <v>2100</v>
      </c>
      <c r="J14" s="224"/>
      <c r="K14" s="112"/>
      <c r="L14" s="112"/>
      <c r="M14" s="112"/>
      <c r="N14" s="197"/>
    </row>
    <row r="15" spans="1:16" hidden="1" x14ac:dyDescent="0.2">
      <c r="A15" t="s">
        <v>154</v>
      </c>
      <c r="C15" s="246">
        <v>44221</v>
      </c>
      <c r="D15" s="247" t="s">
        <v>260</v>
      </c>
      <c r="E15" s="248"/>
      <c r="F15" s="247" t="s">
        <v>90</v>
      </c>
      <c r="G15" s="249">
        <v>15600</v>
      </c>
      <c r="H15" s="3">
        <f t="shared" si="2"/>
        <v>10140</v>
      </c>
      <c r="I15" s="3">
        <f>IF(F15="Selim",G15*0.35,0)</f>
        <v>0</v>
      </c>
      <c r="J15" s="224"/>
      <c r="K15" s="112"/>
      <c r="L15" s="112"/>
      <c r="M15" s="112"/>
      <c r="N15" s="197"/>
    </row>
    <row r="16" spans="1:16" hidden="1" x14ac:dyDescent="0.2">
      <c r="A16" t="s">
        <v>154</v>
      </c>
      <c r="C16" s="251">
        <v>44224</v>
      </c>
      <c r="D16" s="252" t="s">
        <v>265</v>
      </c>
      <c r="E16" s="253"/>
      <c r="F16" s="252"/>
      <c r="G16" s="254"/>
      <c r="H16" s="254">
        <v>-62620</v>
      </c>
      <c r="I16" s="254">
        <v>-5250</v>
      </c>
      <c r="J16" s="224"/>
      <c r="K16" s="112"/>
      <c r="L16" s="112"/>
      <c r="M16" s="112"/>
      <c r="N16" s="197"/>
    </row>
    <row r="17" spans="1:14" hidden="1" x14ac:dyDescent="0.2">
      <c r="A17" t="s">
        <v>154</v>
      </c>
      <c r="C17" s="79">
        <v>44225</v>
      </c>
      <c r="D17" s="2" t="s">
        <v>266</v>
      </c>
      <c r="E17" s="8"/>
      <c r="F17" s="2" t="s">
        <v>90</v>
      </c>
      <c r="G17" s="3">
        <v>4000</v>
      </c>
      <c r="H17" s="3">
        <f>IF(F17="Can",G17*0.65,0)</f>
        <v>2600</v>
      </c>
      <c r="I17" s="3">
        <f>IF(F17="Selim",G17*0.35,0)</f>
        <v>0</v>
      </c>
      <c r="J17" s="224"/>
      <c r="K17" s="112"/>
      <c r="L17" s="112"/>
      <c r="M17" s="112"/>
      <c r="N17" s="197"/>
    </row>
    <row r="18" spans="1:14" hidden="1" x14ac:dyDescent="0.2">
      <c r="A18" t="s">
        <v>154</v>
      </c>
      <c r="C18" s="255">
        <v>44253</v>
      </c>
      <c r="D18" s="2" t="s">
        <v>267</v>
      </c>
      <c r="E18" s="8"/>
      <c r="F18" s="2" t="s">
        <v>90</v>
      </c>
      <c r="G18" s="3">
        <v>4000</v>
      </c>
      <c r="H18" s="3">
        <f t="shared" ref="H18:H47" si="3">IF(F18="Can",G18*0.65,0)</f>
        <v>2600</v>
      </c>
      <c r="I18" s="3">
        <f t="shared" ref="I18:I47" si="4">IF(F18="Selim",G18*0.35,0)</f>
        <v>0</v>
      </c>
      <c r="J18" s="224"/>
      <c r="K18" s="112"/>
      <c r="L18" s="112"/>
      <c r="M18" s="112"/>
      <c r="N18" s="197"/>
    </row>
    <row r="19" spans="1:14" hidden="1" x14ac:dyDescent="0.2">
      <c r="A19" t="s">
        <v>154</v>
      </c>
      <c r="C19" s="79">
        <v>44267</v>
      </c>
      <c r="D19" s="2" t="s">
        <v>260</v>
      </c>
      <c r="E19" s="8"/>
      <c r="F19" s="2" t="s">
        <v>90</v>
      </c>
      <c r="G19" s="3">
        <v>15600</v>
      </c>
      <c r="H19" s="3">
        <f t="shared" si="3"/>
        <v>10140</v>
      </c>
      <c r="I19" s="3">
        <f t="shared" si="4"/>
        <v>0</v>
      </c>
      <c r="J19" s="224"/>
      <c r="K19" s="112"/>
      <c r="L19" s="112"/>
      <c r="M19" s="112"/>
      <c r="N19" s="197"/>
    </row>
    <row r="20" spans="1:14" hidden="1" x14ac:dyDescent="0.2">
      <c r="A20" t="s">
        <v>154</v>
      </c>
      <c r="C20" s="79">
        <v>44286</v>
      </c>
      <c r="D20" s="2" t="s">
        <v>268</v>
      </c>
      <c r="E20" s="8"/>
      <c r="F20" s="2" t="s">
        <v>90</v>
      </c>
      <c r="G20" s="3">
        <v>4000</v>
      </c>
      <c r="H20" s="3">
        <f t="shared" si="3"/>
        <v>2600</v>
      </c>
      <c r="I20" s="3">
        <f t="shared" si="4"/>
        <v>0</v>
      </c>
      <c r="J20" s="224"/>
      <c r="K20" s="112"/>
      <c r="L20" s="112"/>
      <c r="M20" s="112"/>
      <c r="N20" s="197"/>
    </row>
    <row r="21" spans="1:14" hidden="1" x14ac:dyDescent="0.2">
      <c r="A21" t="s">
        <v>154</v>
      </c>
      <c r="C21" s="89">
        <v>44284</v>
      </c>
      <c r="D21" s="4" t="s">
        <v>269</v>
      </c>
      <c r="E21" s="256"/>
      <c r="F21" s="4"/>
      <c r="G21" s="38" t="s">
        <v>270</v>
      </c>
      <c r="H21" s="38">
        <f t="shared" si="3"/>
        <v>0</v>
      </c>
      <c r="I21" s="38">
        <v>8738.91</v>
      </c>
      <c r="J21" s="224"/>
      <c r="K21" s="112"/>
      <c r="L21" s="112"/>
      <c r="M21" s="112"/>
      <c r="N21" s="197"/>
    </row>
    <row r="22" spans="1:14" hidden="1" x14ac:dyDescent="0.2">
      <c r="A22" t="s">
        <v>154</v>
      </c>
      <c r="C22" s="79">
        <v>44301</v>
      </c>
      <c r="D22" s="2" t="s">
        <v>264</v>
      </c>
      <c r="E22" s="8"/>
      <c r="F22" s="2" t="s">
        <v>89</v>
      </c>
      <c r="G22" s="3">
        <v>14000</v>
      </c>
      <c r="H22" s="3">
        <f t="shared" si="3"/>
        <v>0</v>
      </c>
      <c r="I22" s="3">
        <f t="shared" si="4"/>
        <v>4900</v>
      </c>
      <c r="J22" s="224"/>
      <c r="K22" s="112"/>
      <c r="L22" s="112"/>
      <c r="M22" s="112"/>
      <c r="N22" s="197"/>
    </row>
    <row r="23" spans="1:14" hidden="1" x14ac:dyDescent="0.2">
      <c r="A23" t="s">
        <v>154</v>
      </c>
      <c r="C23" s="79">
        <v>44313</v>
      </c>
      <c r="D23" s="2" t="s">
        <v>271</v>
      </c>
      <c r="E23" s="8"/>
      <c r="F23" s="2" t="s">
        <v>89</v>
      </c>
      <c r="G23" s="3">
        <v>31000</v>
      </c>
      <c r="H23" s="3">
        <f t="shared" si="3"/>
        <v>0</v>
      </c>
      <c r="I23" s="3">
        <f t="shared" si="4"/>
        <v>10850</v>
      </c>
      <c r="J23" s="224"/>
      <c r="K23" s="112"/>
      <c r="L23" s="112"/>
      <c r="M23" s="112"/>
      <c r="N23" s="197"/>
    </row>
    <row r="24" spans="1:14" hidden="1" x14ac:dyDescent="0.2">
      <c r="A24" t="s">
        <v>154</v>
      </c>
      <c r="C24" s="79">
        <v>44313</v>
      </c>
      <c r="D24" s="2" t="s">
        <v>272</v>
      </c>
      <c r="E24" s="8"/>
      <c r="F24" s="2" t="s">
        <v>90</v>
      </c>
      <c r="G24" s="3">
        <v>8000</v>
      </c>
      <c r="H24" s="3">
        <f t="shared" si="3"/>
        <v>5200</v>
      </c>
      <c r="I24" s="3">
        <f t="shared" si="4"/>
        <v>0</v>
      </c>
      <c r="J24" s="224"/>
      <c r="K24" s="112"/>
      <c r="L24" s="112"/>
      <c r="M24" s="112"/>
      <c r="N24" s="197"/>
    </row>
    <row r="25" spans="1:14" hidden="1" x14ac:dyDescent="0.2">
      <c r="A25" t="s">
        <v>154</v>
      </c>
      <c r="C25" s="79">
        <v>44313</v>
      </c>
      <c r="D25" s="2" t="s">
        <v>273</v>
      </c>
      <c r="E25" s="8"/>
      <c r="F25" s="2" t="s">
        <v>89</v>
      </c>
      <c r="G25" s="3">
        <v>-100</v>
      </c>
      <c r="H25" s="3">
        <f t="shared" si="3"/>
        <v>0</v>
      </c>
      <c r="I25" s="3">
        <f t="shared" si="4"/>
        <v>-35</v>
      </c>
      <c r="J25" s="224"/>
      <c r="K25" s="112"/>
      <c r="L25" s="112"/>
      <c r="M25" s="112"/>
      <c r="N25" s="197"/>
    </row>
    <row r="26" spans="1:14" hidden="1" x14ac:dyDescent="0.2">
      <c r="A26" t="s">
        <v>154</v>
      </c>
      <c r="C26" s="79">
        <v>44315</v>
      </c>
      <c r="D26" s="2" t="s">
        <v>274</v>
      </c>
      <c r="E26" s="8"/>
      <c r="F26" s="2" t="s">
        <v>90</v>
      </c>
      <c r="G26" s="3">
        <v>4000</v>
      </c>
      <c r="H26" s="3">
        <f t="shared" si="3"/>
        <v>2600</v>
      </c>
      <c r="I26" s="3">
        <f t="shared" si="4"/>
        <v>0</v>
      </c>
      <c r="J26" s="224"/>
      <c r="K26" s="112"/>
      <c r="L26" s="112"/>
      <c r="M26" s="112"/>
      <c r="N26" s="197"/>
    </row>
    <row r="27" spans="1:14" hidden="1" x14ac:dyDescent="0.2">
      <c r="A27" t="s">
        <v>154</v>
      </c>
      <c r="C27" s="79">
        <v>44347</v>
      </c>
      <c r="D27" s="2" t="s">
        <v>260</v>
      </c>
      <c r="E27" s="8"/>
      <c r="F27" s="2" t="s">
        <v>89</v>
      </c>
      <c r="G27" s="3">
        <v>66000</v>
      </c>
      <c r="H27" s="3">
        <f t="shared" si="3"/>
        <v>0</v>
      </c>
      <c r="I27" s="3">
        <f t="shared" si="4"/>
        <v>23100</v>
      </c>
      <c r="J27" s="224"/>
      <c r="K27" s="112"/>
      <c r="L27" s="112"/>
      <c r="M27" s="112"/>
      <c r="N27" s="197"/>
    </row>
    <row r="28" spans="1:14" hidden="1" x14ac:dyDescent="0.2">
      <c r="A28" t="s">
        <v>154</v>
      </c>
      <c r="C28" s="79">
        <v>44347</v>
      </c>
      <c r="D28" s="2" t="s">
        <v>275</v>
      </c>
      <c r="E28" s="8"/>
      <c r="F28" s="2" t="s">
        <v>90</v>
      </c>
      <c r="G28" s="3">
        <v>4000</v>
      </c>
      <c r="H28" s="3">
        <f t="shared" si="3"/>
        <v>2600</v>
      </c>
      <c r="I28" s="3">
        <f t="shared" si="4"/>
        <v>0</v>
      </c>
      <c r="J28" s="224"/>
      <c r="K28" s="112"/>
      <c r="L28" s="112"/>
      <c r="M28" s="112"/>
      <c r="N28" s="197"/>
    </row>
    <row r="29" spans="1:14" hidden="1" x14ac:dyDescent="0.2">
      <c r="A29" t="s">
        <v>154</v>
      </c>
      <c r="C29" s="79">
        <v>44377</v>
      </c>
      <c r="D29" s="2" t="s">
        <v>276</v>
      </c>
      <c r="E29" s="8"/>
      <c r="F29" s="2" t="s">
        <v>90</v>
      </c>
      <c r="G29" s="3">
        <v>4000</v>
      </c>
      <c r="H29" s="3">
        <f t="shared" si="3"/>
        <v>2600</v>
      </c>
      <c r="I29" s="3">
        <f t="shared" si="4"/>
        <v>0</v>
      </c>
      <c r="J29" s="224"/>
      <c r="K29" s="112"/>
      <c r="L29" s="112"/>
      <c r="M29" s="112"/>
      <c r="N29" s="197"/>
    </row>
    <row r="30" spans="1:14" hidden="1" x14ac:dyDescent="0.2">
      <c r="A30" t="s">
        <v>154</v>
      </c>
      <c r="C30" s="79">
        <v>44384</v>
      </c>
      <c r="D30" s="2" t="s">
        <v>277</v>
      </c>
      <c r="E30" s="8"/>
      <c r="F30" s="2" t="s">
        <v>89</v>
      </c>
      <c r="G30" s="3">
        <v>15000</v>
      </c>
      <c r="H30" s="3">
        <f t="shared" si="3"/>
        <v>0</v>
      </c>
      <c r="I30" s="3">
        <f t="shared" si="4"/>
        <v>5250</v>
      </c>
      <c r="J30" s="224"/>
      <c r="K30" s="112"/>
      <c r="L30" s="112"/>
      <c r="M30" s="112"/>
      <c r="N30" s="197"/>
    </row>
    <row r="31" spans="1:14" hidden="1" x14ac:dyDescent="0.2">
      <c r="A31" t="s">
        <v>154</v>
      </c>
      <c r="C31" s="79">
        <v>44391</v>
      </c>
      <c r="D31" s="2" t="s">
        <v>278</v>
      </c>
      <c r="E31" s="8"/>
      <c r="F31" s="2" t="s">
        <v>89</v>
      </c>
      <c r="G31" s="3">
        <v>38000</v>
      </c>
      <c r="H31" s="3">
        <f>IF(F31="Can",G31*0.65,0)</f>
        <v>0</v>
      </c>
      <c r="I31" s="3">
        <f t="shared" si="4"/>
        <v>13300</v>
      </c>
      <c r="J31" s="224"/>
      <c r="K31" s="112"/>
      <c r="L31" s="112"/>
      <c r="M31" s="112"/>
      <c r="N31" s="197"/>
    </row>
    <row r="32" spans="1:14" hidden="1" x14ac:dyDescent="0.2">
      <c r="A32" t="s">
        <v>154</v>
      </c>
      <c r="C32" s="79">
        <v>44391</v>
      </c>
      <c r="D32" s="2" t="s">
        <v>279</v>
      </c>
      <c r="E32" s="8"/>
      <c r="F32" s="2" t="s">
        <v>89</v>
      </c>
      <c r="G32" s="3">
        <v>44800</v>
      </c>
      <c r="H32" s="3">
        <f t="shared" si="3"/>
        <v>0</v>
      </c>
      <c r="I32" s="3">
        <f t="shared" si="4"/>
        <v>15679.999999999998</v>
      </c>
      <c r="J32" s="224"/>
      <c r="K32" s="112"/>
      <c r="L32" s="112"/>
      <c r="M32" s="112"/>
      <c r="N32" s="197"/>
    </row>
    <row r="33" spans="1:14" hidden="1" x14ac:dyDescent="0.2">
      <c r="A33" t="s">
        <v>154</v>
      </c>
      <c r="C33" s="79">
        <v>44391</v>
      </c>
      <c r="D33" s="2" t="s">
        <v>280</v>
      </c>
      <c r="E33" s="8"/>
      <c r="F33" s="2" t="s">
        <v>90</v>
      </c>
      <c r="G33" s="3">
        <v>31200</v>
      </c>
      <c r="H33" s="3">
        <f t="shared" si="3"/>
        <v>20280</v>
      </c>
      <c r="I33" s="3">
        <f t="shared" si="4"/>
        <v>0</v>
      </c>
      <c r="J33" s="224"/>
      <c r="K33" s="112"/>
      <c r="L33" s="112"/>
      <c r="M33" s="112"/>
      <c r="N33" s="197"/>
    </row>
    <row r="34" spans="1:14" hidden="1" x14ac:dyDescent="0.2">
      <c r="A34" t="s">
        <v>154</v>
      </c>
      <c r="C34" s="79">
        <v>44407</v>
      </c>
      <c r="D34" s="2" t="s">
        <v>281</v>
      </c>
      <c r="E34" s="8"/>
      <c r="F34" s="2" t="s">
        <v>90</v>
      </c>
      <c r="G34" s="3">
        <v>4000</v>
      </c>
      <c r="H34" s="3">
        <f t="shared" si="3"/>
        <v>2600</v>
      </c>
      <c r="I34" s="3">
        <f t="shared" si="4"/>
        <v>0</v>
      </c>
      <c r="J34" s="224"/>
      <c r="K34" s="112"/>
      <c r="L34" s="112"/>
      <c r="M34" s="112"/>
      <c r="N34" s="197"/>
    </row>
    <row r="35" spans="1:14" hidden="1" x14ac:dyDescent="0.2">
      <c r="A35" t="s">
        <v>154</v>
      </c>
      <c r="C35" s="79">
        <v>44411</v>
      </c>
      <c r="D35" s="2" t="s">
        <v>282</v>
      </c>
      <c r="E35" s="8"/>
      <c r="F35" s="2" t="s">
        <v>90</v>
      </c>
      <c r="G35" s="3">
        <v>57800</v>
      </c>
      <c r="H35" s="3">
        <f t="shared" si="3"/>
        <v>37570</v>
      </c>
      <c r="I35" s="3">
        <f t="shared" si="4"/>
        <v>0</v>
      </c>
      <c r="J35" s="224"/>
      <c r="K35" s="112"/>
      <c r="L35" s="112"/>
      <c r="M35" s="112"/>
      <c r="N35" s="197"/>
    </row>
    <row r="36" spans="1:14" hidden="1" x14ac:dyDescent="0.2">
      <c r="A36" t="s">
        <v>154</v>
      </c>
      <c r="C36" s="79">
        <v>44413</v>
      </c>
      <c r="D36" s="2" t="s">
        <v>283</v>
      </c>
      <c r="E36" s="8"/>
      <c r="F36" s="2" t="s">
        <v>90</v>
      </c>
      <c r="G36" s="3">
        <v>4000</v>
      </c>
      <c r="H36" s="3">
        <f t="shared" si="3"/>
        <v>2600</v>
      </c>
      <c r="I36" s="3">
        <f t="shared" si="4"/>
        <v>0</v>
      </c>
      <c r="J36" s="224"/>
      <c r="K36" s="112"/>
      <c r="L36" s="112"/>
      <c r="M36" s="112"/>
      <c r="N36" s="197"/>
    </row>
    <row r="37" spans="1:14" hidden="1" x14ac:dyDescent="0.2">
      <c r="A37" t="s">
        <v>154</v>
      </c>
      <c r="C37" s="79">
        <v>44414</v>
      </c>
      <c r="D37" s="2" t="s">
        <v>284</v>
      </c>
      <c r="E37" s="8"/>
      <c r="F37" s="2" t="s">
        <v>89</v>
      </c>
      <c r="G37" s="3">
        <v>9000</v>
      </c>
      <c r="H37" s="3">
        <f t="shared" si="3"/>
        <v>0</v>
      </c>
      <c r="I37" s="3">
        <f t="shared" si="4"/>
        <v>3150</v>
      </c>
      <c r="J37" s="224"/>
      <c r="K37" s="112"/>
      <c r="L37" s="112"/>
      <c r="M37" s="112"/>
      <c r="N37" s="197"/>
    </row>
    <row r="38" spans="1:14" hidden="1" x14ac:dyDescent="0.2">
      <c r="A38" t="s">
        <v>154</v>
      </c>
      <c r="C38" s="79">
        <v>44414</v>
      </c>
      <c r="D38" s="2" t="s">
        <v>285</v>
      </c>
      <c r="E38" s="8"/>
      <c r="F38" s="2" t="s">
        <v>90</v>
      </c>
      <c r="G38" s="3">
        <v>15000</v>
      </c>
      <c r="H38" s="3">
        <f>IF(F38="Can",G38*0.65,0)</f>
        <v>9750</v>
      </c>
      <c r="I38" s="3">
        <f t="shared" si="4"/>
        <v>0</v>
      </c>
      <c r="J38" s="224"/>
      <c r="K38" s="112"/>
      <c r="L38" s="112"/>
      <c r="M38" s="112"/>
      <c r="N38" s="197"/>
    </row>
    <row r="39" spans="1:14" hidden="1" x14ac:dyDescent="0.2">
      <c r="A39" t="s">
        <v>154</v>
      </c>
      <c r="C39" s="79">
        <v>44439</v>
      </c>
      <c r="D39" s="2" t="s">
        <v>286</v>
      </c>
      <c r="E39" s="8"/>
      <c r="F39" s="2" t="s">
        <v>90</v>
      </c>
      <c r="G39" s="3">
        <v>4000</v>
      </c>
      <c r="H39" s="3">
        <f t="shared" si="3"/>
        <v>2600</v>
      </c>
      <c r="I39" s="3">
        <f t="shared" si="4"/>
        <v>0</v>
      </c>
      <c r="J39" s="224"/>
      <c r="K39" s="112"/>
      <c r="L39" s="112"/>
      <c r="M39" s="112"/>
      <c r="N39" s="197"/>
    </row>
    <row r="40" spans="1:14" hidden="1" x14ac:dyDescent="0.2">
      <c r="A40" t="s">
        <v>154</v>
      </c>
      <c r="C40" s="79">
        <v>44446</v>
      </c>
      <c r="D40" s="2" t="s">
        <v>287</v>
      </c>
      <c r="E40" s="8"/>
      <c r="F40" s="2" t="s">
        <v>90</v>
      </c>
      <c r="G40" s="3">
        <v>16000</v>
      </c>
      <c r="H40" s="3">
        <f t="shared" si="3"/>
        <v>10400</v>
      </c>
      <c r="I40" s="3">
        <f t="shared" si="4"/>
        <v>0</v>
      </c>
      <c r="J40" s="224"/>
      <c r="K40" s="112"/>
      <c r="L40" s="112"/>
      <c r="M40" s="112"/>
      <c r="N40" s="197"/>
    </row>
    <row r="41" spans="1:14" hidden="1" x14ac:dyDescent="0.2">
      <c r="A41" t="s">
        <v>154</v>
      </c>
      <c r="C41" s="79">
        <v>44467</v>
      </c>
      <c r="D41" s="2" t="s">
        <v>288</v>
      </c>
      <c r="E41" s="8"/>
      <c r="F41" s="2" t="s">
        <v>89</v>
      </c>
      <c r="G41" s="3">
        <v>13000</v>
      </c>
      <c r="H41" s="3">
        <f t="shared" si="3"/>
        <v>0</v>
      </c>
      <c r="I41" s="3">
        <f t="shared" si="4"/>
        <v>4550</v>
      </c>
      <c r="J41" s="224"/>
      <c r="K41" s="112"/>
      <c r="L41" s="112"/>
      <c r="M41" s="112"/>
      <c r="N41" s="197"/>
    </row>
    <row r="42" spans="1:14" hidden="1" x14ac:dyDescent="0.2">
      <c r="A42" t="s">
        <v>154</v>
      </c>
      <c r="C42" s="79">
        <v>44467</v>
      </c>
      <c r="D42" s="2" t="s">
        <v>289</v>
      </c>
      <c r="E42" s="8"/>
      <c r="F42" s="2" t="s">
        <v>89</v>
      </c>
      <c r="G42" s="3">
        <v>18000</v>
      </c>
      <c r="H42" s="3">
        <f>IF(F42="Can",G42*0.65,0)</f>
        <v>0</v>
      </c>
      <c r="I42" s="3">
        <f t="shared" si="4"/>
        <v>6300</v>
      </c>
      <c r="J42" s="224"/>
      <c r="K42" s="112"/>
      <c r="L42" s="112"/>
      <c r="M42" s="112"/>
      <c r="N42" s="197"/>
    </row>
    <row r="43" spans="1:14" hidden="1" x14ac:dyDescent="0.2">
      <c r="A43" t="s">
        <v>154</v>
      </c>
      <c r="C43" s="79">
        <v>44467</v>
      </c>
      <c r="D43" s="2" t="s">
        <v>290</v>
      </c>
      <c r="E43" s="8"/>
      <c r="F43" s="2" t="s">
        <v>90</v>
      </c>
      <c r="G43" s="3">
        <v>8000</v>
      </c>
      <c r="H43" s="3">
        <f t="shared" si="3"/>
        <v>5200</v>
      </c>
      <c r="I43" s="3">
        <f t="shared" si="4"/>
        <v>0</v>
      </c>
      <c r="J43" s="224"/>
      <c r="K43" s="112"/>
      <c r="L43" s="112"/>
      <c r="M43" s="112"/>
      <c r="N43" s="197"/>
    </row>
    <row r="44" spans="1:14" hidden="1" x14ac:dyDescent="0.2">
      <c r="A44" t="s">
        <v>154</v>
      </c>
      <c r="C44" s="79">
        <v>44468</v>
      </c>
      <c r="D44" s="2" t="s">
        <v>291</v>
      </c>
      <c r="E44" s="8"/>
      <c r="F44" s="2" t="s">
        <v>90</v>
      </c>
      <c r="G44" s="3">
        <v>4000</v>
      </c>
      <c r="H44" s="3">
        <f t="shared" si="3"/>
        <v>2600</v>
      </c>
      <c r="I44" s="3">
        <f t="shared" si="4"/>
        <v>0</v>
      </c>
      <c r="J44" s="224"/>
      <c r="K44" s="112"/>
      <c r="L44" s="112"/>
      <c r="M44" s="112"/>
      <c r="N44" s="197"/>
    </row>
    <row r="45" spans="1:14" hidden="1" x14ac:dyDescent="0.2">
      <c r="A45" t="s">
        <v>154</v>
      </c>
      <c r="C45" s="79">
        <v>44468</v>
      </c>
      <c r="D45" s="2" t="s">
        <v>287</v>
      </c>
      <c r="E45" s="8"/>
      <c r="F45" s="2" t="s">
        <v>89</v>
      </c>
      <c r="G45" s="3">
        <v>16000</v>
      </c>
      <c r="H45" s="3">
        <f t="shared" si="3"/>
        <v>0</v>
      </c>
      <c r="I45" s="3">
        <f t="shared" si="4"/>
        <v>5600</v>
      </c>
      <c r="J45" s="224"/>
      <c r="K45" s="112"/>
      <c r="L45" s="112"/>
      <c r="M45" s="112"/>
      <c r="N45" s="197"/>
    </row>
    <row r="46" spans="1:14" hidden="1" x14ac:dyDescent="0.2">
      <c r="A46" t="s">
        <v>154</v>
      </c>
      <c r="C46" s="79">
        <v>44502</v>
      </c>
      <c r="D46" s="2" t="s">
        <v>292</v>
      </c>
      <c r="E46" s="8"/>
      <c r="F46" s="2" t="s">
        <v>90</v>
      </c>
      <c r="G46" s="3">
        <v>4000</v>
      </c>
      <c r="H46" s="3">
        <f t="shared" si="3"/>
        <v>2600</v>
      </c>
      <c r="I46" s="3">
        <f t="shared" si="4"/>
        <v>0</v>
      </c>
      <c r="J46" s="224"/>
      <c r="K46" s="112"/>
      <c r="L46" s="112"/>
      <c r="M46" s="112"/>
      <c r="N46" s="197"/>
    </row>
    <row r="47" spans="1:14" hidden="1" x14ac:dyDescent="0.2">
      <c r="A47" t="s">
        <v>154</v>
      </c>
      <c r="C47" s="79">
        <v>44503</v>
      </c>
      <c r="D47" s="2" t="s">
        <v>287</v>
      </c>
      <c r="E47" s="8"/>
      <c r="F47" s="2" t="s">
        <v>89</v>
      </c>
      <c r="G47" s="3">
        <v>7000</v>
      </c>
      <c r="H47" s="3">
        <f t="shared" si="3"/>
        <v>0</v>
      </c>
      <c r="I47" s="3">
        <f t="shared" si="4"/>
        <v>2450</v>
      </c>
      <c r="J47" s="224"/>
      <c r="K47" s="112"/>
      <c r="L47" s="112"/>
      <c r="M47" s="112"/>
      <c r="N47" s="197"/>
    </row>
    <row r="48" spans="1:14" hidden="1" x14ac:dyDescent="0.2">
      <c r="A48" t="s">
        <v>154</v>
      </c>
      <c r="C48" s="89">
        <v>44519</v>
      </c>
      <c r="D48" s="4" t="s">
        <v>293</v>
      </c>
      <c r="E48" s="256"/>
      <c r="F48" s="4"/>
      <c r="G48" s="38">
        <v>0</v>
      </c>
      <c r="H48" s="38">
        <v>-23306.09</v>
      </c>
      <c r="I48" s="38">
        <v>0</v>
      </c>
      <c r="J48" s="224"/>
      <c r="K48" s="112"/>
      <c r="L48" s="112"/>
      <c r="M48" s="112"/>
      <c r="N48" s="197"/>
    </row>
    <row r="49" spans="1:14" hidden="1" x14ac:dyDescent="0.2">
      <c r="A49" t="s">
        <v>154</v>
      </c>
      <c r="C49" s="79">
        <v>44530</v>
      </c>
      <c r="D49" s="2" t="s">
        <v>294</v>
      </c>
      <c r="E49" s="8"/>
      <c r="F49" s="2" t="s">
        <v>90</v>
      </c>
      <c r="G49" s="3">
        <v>4000</v>
      </c>
      <c r="H49" s="3">
        <f t="shared" ref="H49:H69" si="5">IF(F49="Can",G49*0.65,0)</f>
        <v>2600</v>
      </c>
      <c r="I49" s="3">
        <f t="shared" ref="I49:I69" si="6">IF(F49="Selim",G49*0.35,0)</f>
        <v>0</v>
      </c>
      <c r="J49" s="224"/>
      <c r="K49" s="112"/>
      <c r="L49" s="112"/>
      <c r="M49" s="112"/>
      <c r="N49" s="197"/>
    </row>
    <row r="50" spans="1:14" hidden="1" x14ac:dyDescent="0.2">
      <c r="A50" t="s">
        <v>154</v>
      </c>
      <c r="C50" s="79">
        <v>44531</v>
      </c>
      <c r="D50" s="2" t="s">
        <v>295</v>
      </c>
      <c r="E50" s="8"/>
      <c r="F50" s="2" t="s">
        <v>90</v>
      </c>
      <c r="G50" s="3">
        <v>4000</v>
      </c>
      <c r="H50" s="3">
        <f t="shared" si="5"/>
        <v>2600</v>
      </c>
      <c r="I50" s="3">
        <f t="shared" si="6"/>
        <v>0</v>
      </c>
      <c r="J50" s="224"/>
      <c r="K50" s="112"/>
      <c r="L50" s="112"/>
      <c r="M50" s="112"/>
      <c r="N50" s="197"/>
    </row>
    <row r="51" spans="1:14" hidden="1" x14ac:dyDescent="0.2">
      <c r="A51" t="s">
        <v>154</v>
      </c>
      <c r="C51" s="79">
        <v>44537</v>
      </c>
      <c r="D51" s="2" t="s">
        <v>296</v>
      </c>
      <c r="E51" s="8"/>
      <c r="F51" s="2" t="s">
        <v>89</v>
      </c>
      <c r="G51" s="3">
        <v>7000</v>
      </c>
      <c r="H51" s="3">
        <f t="shared" si="5"/>
        <v>0</v>
      </c>
      <c r="I51" s="3">
        <f t="shared" si="6"/>
        <v>2450</v>
      </c>
      <c r="J51" s="224"/>
      <c r="K51" s="112"/>
      <c r="L51" s="112"/>
      <c r="M51" s="112"/>
      <c r="N51" s="197"/>
    </row>
    <row r="52" spans="1:14" hidden="1" x14ac:dyDescent="0.2">
      <c r="A52" t="s">
        <v>154</v>
      </c>
      <c r="C52" s="79">
        <v>44560</v>
      </c>
      <c r="D52" s="2" t="s">
        <v>297</v>
      </c>
      <c r="E52" s="8"/>
      <c r="F52" s="2" t="s">
        <v>90</v>
      </c>
      <c r="G52" s="3">
        <v>4000</v>
      </c>
      <c r="H52" s="3">
        <f t="shared" si="5"/>
        <v>2600</v>
      </c>
      <c r="I52" s="3">
        <f t="shared" si="6"/>
        <v>0</v>
      </c>
      <c r="J52" s="224"/>
      <c r="K52" s="112"/>
      <c r="L52" s="112"/>
      <c r="M52" s="112"/>
      <c r="N52" s="197"/>
    </row>
    <row r="53" spans="1:14" hidden="1" x14ac:dyDescent="0.2">
      <c r="A53" t="s">
        <v>154</v>
      </c>
      <c r="C53" s="79">
        <v>44564</v>
      </c>
      <c r="D53" s="2" t="s">
        <v>298</v>
      </c>
      <c r="E53" s="8"/>
      <c r="F53" s="2" t="s">
        <v>90</v>
      </c>
      <c r="G53" s="3">
        <v>4000</v>
      </c>
      <c r="H53" s="3">
        <f t="shared" si="5"/>
        <v>2600</v>
      </c>
      <c r="I53" s="3">
        <f t="shared" si="6"/>
        <v>0</v>
      </c>
      <c r="J53" s="224"/>
      <c r="K53" s="112"/>
      <c r="L53" s="112"/>
      <c r="M53" s="112"/>
      <c r="N53" s="197"/>
    </row>
    <row r="54" spans="1:14" hidden="1" x14ac:dyDescent="0.2">
      <c r="A54" t="s">
        <v>154</v>
      </c>
      <c r="C54" s="79">
        <v>44564</v>
      </c>
      <c r="D54" s="2" t="s">
        <v>299</v>
      </c>
      <c r="E54" s="8"/>
      <c r="F54" s="2" t="s">
        <v>89</v>
      </c>
      <c r="G54" s="3">
        <v>7000</v>
      </c>
      <c r="H54" s="3">
        <f t="shared" si="5"/>
        <v>0</v>
      </c>
      <c r="I54" s="3">
        <f t="shared" si="6"/>
        <v>2450</v>
      </c>
      <c r="J54" s="224"/>
      <c r="K54" s="112"/>
      <c r="L54" s="112"/>
      <c r="M54" s="112"/>
      <c r="N54" s="197"/>
    </row>
    <row r="55" spans="1:14" hidden="1" x14ac:dyDescent="0.2">
      <c r="A55" t="s">
        <v>154</v>
      </c>
      <c r="C55" s="79">
        <v>44579</v>
      </c>
      <c r="D55" s="2" t="s">
        <v>289</v>
      </c>
      <c r="E55" s="8"/>
      <c r="F55" s="2" t="s">
        <v>89</v>
      </c>
      <c r="G55" s="3">
        <v>18000</v>
      </c>
      <c r="H55" s="3">
        <f t="shared" si="5"/>
        <v>0</v>
      </c>
      <c r="I55" s="3">
        <f t="shared" si="6"/>
        <v>6300</v>
      </c>
      <c r="J55" s="224"/>
      <c r="K55" s="112"/>
      <c r="L55" s="112"/>
      <c r="M55" s="112"/>
      <c r="N55" s="197"/>
    </row>
    <row r="56" spans="1:14" hidden="1" x14ac:dyDescent="0.2">
      <c r="A56" t="s">
        <v>154</v>
      </c>
      <c r="C56" s="79">
        <v>44589</v>
      </c>
      <c r="D56" s="2" t="s">
        <v>300</v>
      </c>
      <c r="E56" s="8"/>
      <c r="F56" s="2" t="s">
        <v>90</v>
      </c>
      <c r="G56" s="3">
        <v>4000</v>
      </c>
      <c r="H56" s="3">
        <f t="shared" si="5"/>
        <v>2600</v>
      </c>
      <c r="I56" s="3">
        <f t="shared" si="6"/>
        <v>0</v>
      </c>
      <c r="J56" s="224"/>
      <c r="K56" s="112"/>
      <c r="L56" s="112"/>
      <c r="M56" s="112"/>
      <c r="N56" s="197"/>
    </row>
    <row r="57" spans="1:14" hidden="1" x14ac:dyDescent="0.2">
      <c r="A57" t="s">
        <v>154</v>
      </c>
      <c r="C57" s="79">
        <v>44596</v>
      </c>
      <c r="D57" s="2" t="s">
        <v>301</v>
      </c>
      <c r="E57" s="8"/>
      <c r="F57" s="2" t="s">
        <v>90</v>
      </c>
      <c r="G57" s="3">
        <v>4000</v>
      </c>
      <c r="H57" s="3">
        <f t="shared" si="5"/>
        <v>2600</v>
      </c>
      <c r="I57" s="3">
        <f t="shared" si="6"/>
        <v>0</v>
      </c>
      <c r="J57" s="224"/>
      <c r="K57" s="112"/>
      <c r="L57" s="112"/>
      <c r="M57" s="112"/>
      <c r="N57" s="197"/>
    </row>
    <row r="58" spans="1:14" hidden="1" x14ac:dyDescent="0.2">
      <c r="A58" t="s">
        <v>154</v>
      </c>
      <c r="C58" s="79">
        <v>44599</v>
      </c>
      <c r="D58" s="2" t="s">
        <v>302</v>
      </c>
      <c r="E58" s="8"/>
      <c r="F58" s="2" t="s">
        <v>90</v>
      </c>
      <c r="G58" s="3">
        <v>11000</v>
      </c>
      <c r="H58" s="3">
        <f t="shared" si="5"/>
        <v>7150</v>
      </c>
      <c r="I58" s="3">
        <f t="shared" si="6"/>
        <v>0</v>
      </c>
      <c r="J58" s="224"/>
      <c r="K58" s="112"/>
      <c r="L58" s="112"/>
      <c r="M58" s="112"/>
      <c r="N58" s="197"/>
    </row>
    <row r="59" spans="1:14" hidden="1" x14ac:dyDescent="0.2">
      <c r="A59" t="s">
        <v>154</v>
      </c>
      <c r="C59" s="79">
        <v>44599</v>
      </c>
      <c r="D59" s="2" t="s">
        <v>303</v>
      </c>
      <c r="E59" s="8"/>
      <c r="F59" s="2" t="s">
        <v>90</v>
      </c>
      <c r="G59" s="3">
        <v>9000</v>
      </c>
      <c r="H59" s="3">
        <f t="shared" si="5"/>
        <v>5850</v>
      </c>
      <c r="I59" s="3">
        <f t="shared" si="6"/>
        <v>0</v>
      </c>
      <c r="J59" s="224"/>
      <c r="K59" s="112"/>
      <c r="L59" s="112"/>
      <c r="M59" s="112"/>
      <c r="N59" s="197"/>
    </row>
    <row r="60" spans="1:14" hidden="1" x14ac:dyDescent="0.2">
      <c r="A60" t="s">
        <v>154</v>
      </c>
      <c r="C60" s="79">
        <v>44620</v>
      </c>
      <c r="D60" s="2" t="s">
        <v>304</v>
      </c>
      <c r="E60" s="8"/>
      <c r="F60" s="2" t="s">
        <v>90</v>
      </c>
      <c r="G60" s="3">
        <v>4000</v>
      </c>
      <c r="H60" s="3">
        <f t="shared" si="5"/>
        <v>2600</v>
      </c>
      <c r="I60" s="3">
        <f t="shared" si="6"/>
        <v>0</v>
      </c>
      <c r="J60" s="224"/>
      <c r="K60" s="112"/>
      <c r="L60" s="112"/>
      <c r="M60" s="112"/>
      <c r="N60" s="197"/>
    </row>
    <row r="61" spans="1:14" hidden="1" x14ac:dyDescent="0.2">
      <c r="A61" t="s">
        <v>154</v>
      </c>
      <c r="C61" s="79">
        <v>44627</v>
      </c>
      <c r="D61" s="2" t="s">
        <v>305</v>
      </c>
      <c r="E61" s="8"/>
      <c r="F61" s="2" t="s">
        <v>90</v>
      </c>
      <c r="G61" s="3">
        <v>4000</v>
      </c>
      <c r="H61" s="3">
        <f t="shared" si="5"/>
        <v>2600</v>
      </c>
      <c r="I61" s="3">
        <f t="shared" si="6"/>
        <v>0</v>
      </c>
      <c r="J61" s="224"/>
      <c r="K61" s="112"/>
      <c r="L61" s="112"/>
      <c r="M61" s="112"/>
      <c r="N61" s="197"/>
    </row>
    <row r="62" spans="1:14" hidden="1" x14ac:dyDescent="0.2">
      <c r="A62" t="s">
        <v>154</v>
      </c>
      <c r="C62" s="79">
        <v>44637</v>
      </c>
      <c r="D62" s="2" t="s">
        <v>306</v>
      </c>
      <c r="E62" s="8"/>
      <c r="F62" s="2" t="s">
        <v>90</v>
      </c>
      <c r="G62" s="3">
        <v>9000</v>
      </c>
      <c r="H62" s="3">
        <f t="shared" si="5"/>
        <v>5850</v>
      </c>
      <c r="I62" s="3">
        <f t="shared" si="6"/>
        <v>0</v>
      </c>
      <c r="J62" s="224"/>
      <c r="K62" s="112"/>
      <c r="L62" s="112"/>
      <c r="M62" s="112"/>
      <c r="N62" s="197"/>
    </row>
    <row r="63" spans="1:14" hidden="1" x14ac:dyDescent="0.2">
      <c r="A63" t="s">
        <v>154</v>
      </c>
      <c r="C63" s="79">
        <v>44638</v>
      </c>
      <c r="D63" s="2" t="s">
        <v>307</v>
      </c>
      <c r="E63" s="8"/>
      <c r="F63" s="2" t="s">
        <v>89</v>
      </c>
      <c r="G63" s="3">
        <v>22000</v>
      </c>
      <c r="H63" s="3">
        <f t="shared" si="5"/>
        <v>0</v>
      </c>
      <c r="I63" s="3">
        <f t="shared" si="6"/>
        <v>7699.9999999999991</v>
      </c>
      <c r="J63" s="224"/>
      <c r="K63" s="112"/>
      <c r="L63" s="112"/>
      <c r="M63" s="112"/>
      <c r="N63" s="197"/>
    </row>
    <row r="64" spans="1:14" hidden="1" x14ac:dyDescent="0.2">
      <c r="A64" t="s">
        <v>154</v>
      </c>
      <c r="C64" s="79">
        <v>44651</v>
      </c>
      <c r="D64" s="2" t="s">
        <v>308</v>
      </c>
      <c r="E64" s="8"/>
      <c r="F64" s="2" t="s">
        <v>90</v>
      </c>
      <c r="G64" s="3">
        <v>4000</v>
      </c>
      <c r="H64" s="3">
        <f t="shared" si="5"/>
        <v>2600</v>
      </c>
      <c r="I64" s="3">
        <f t="shared" si="6"/>
        <v>0</v>
      </c>
      <c r="J64" s="224"/>
      <c r="K64" s="112"/>
      <c r="L64" s="112"/>
      <c r="M64" s="112"/>
      <c r="N64" s="197"/>
    </row>
    <row r="65" spans="1:14" hidden="1" x14ac:dyDescent="0.2">
      <c r="A65" t="s">
        <v>154</v>
      </c>
      <c r="C65" s="79">
        <v>44655</v>
      </c>
      <c r="D65" s="2" t="s">
        <v>309</v>
      </c>
      <c r="E65" s="8"/>
      <c r="F65" s="2" t="s">
        <v>90</v>
      </c>
      <c r="G65" s="3">
        <v>4000</v>
      </c>
      <c r="H65" s="3">
        <f t="shared" si="5"/>
        <v>2600</v>
      </c>
      <c r="I65" s="3">
        <f t="shared" si="6"/>
        <v>0</v>
      </c>
      <c r="J65" s="224"/>
      <c r="K65" s="112"/>
      <c r="L65" s="112"/>
      <c r="M65" s="112"/>
      <c r="N65" s="197"/>
    </row>
    <row r="66" spans="1:14" hidden="1" x14ac:dyDescent="0.2">
      <c r="A66" t="s">
        <v>154</v>
      </c>
      <c r="C66" s="79">
        <v>44659</v>
      </c>
      <c r="D66" s="2" t="s">
        <v>310</v>
      </c>
      <c r="E66" s="8"/>
      <c r="F66" s="2" t="s">
        <v>90</v>
      </c>
      <c r="G66" s="3">
        <v>9000</v>
      </c>
      <c r="H66" s="3">
        <f t="shared" si="5"/>
        <v>5850</v>
      </c>
      <c r="I66" s="3">
        <f t="shared" si="6"/>
        <v>0</v>
      </c>
      <c r="J66" s="224"/>
      <c r="K66" s="112"/>
      <c r="L66" s="112"/>
      <c r="M66" s="112"/>
      <c r="N66" s="197"/>
    </row>
    <row r="67" spans="1:14" hidden="1" x14ac:dyDescent="0.2">
      <c r="A67" t="s">
        <v>154</v>
      </c>
      <c r="C67" s="79">
        <v>44675</v>
      </c>
      <c r="D67" s="2" t="s">
        <v>311</v>
      </c>
      <c r="E67" s="8"/>
      <c r="F67" s="2" t="s">
        <v>90</v>
      </c>
      <c r="G67" s="3">
        <v>4000</v>
      </c>
      <c r="H67" s="3">
        <f t="shared" si="5"/>
        <v>2600</v>
      </c>
      <c r="I67" s="3">
        <f t="shared" si="6"/>
        <v>0</v>
      </c>
      <c r="J67" s="224"/>
      <c r="K67" s="112"/>
      <c r="L67" s="112"/>
      <c r="M67" s="112"/>
      <c r="N67" s="197"/>
    </row>
    <row r="68" spans="1:14" hidden="1" x14ac:dyDescent="0.2">
      <c r="A68" t="s">
        <v>154</v>
      </c>
      <c r="C68" s="79">
        <v>44676</v>
      </c>
      <c r="D68" s="2" t="s">
        <v>312</v>
      </c>
      <c r="E68" s="8"/>
      <c r="F68" s="2" t="s">
        <v>89</v>
      </c>
      <c r="G68" s="3">
        <v>11000</v>
      </c>
      <c r="H68" s="3">
        <f t="shared" si="5"/>
        <v>0</v>
      </c>
      <c r="I68" s="3">
        <f t="shared" si="6"/>
        <v>3849.9999999999995</v>
      </c>
      <c r="J68" s="224"/>
      <c r="K68" s="112"/>
      <c r="L68" s="112"/>
      <c r="M68" s="112"/>
      <c r="N68" s="197"/>
    </row>
    <row r="69" spans="1:14" hidden="1" x14ac:dyDescent="0.2">
      <c r="A69" t="s">
        <v>154</v>
      </c>
      <c r="C69" s="79">
        <v>44690</v>
      </c>
      <c r="D69" s="2" t="s">
        <v>313</v>
      </c>
      <c r="E69" s="8"/>
      <c r="F69" s="2" t="s">
        <v>90</v>
      </c>
      <c r="G69" s="3">
        <v>4000</v>
      </c>
      <c r="H69" s="3">
        <f t="shared" si="5"/>
        <v>2600</v>
      </c>
      <c r="I69" s="3">
        <f t="shared" si="6"/>
        <v>0</v>
      </c>
      <c r="J69" s="224"/>
      <c r="K69" s="112"/>
      <c r="L69" s="112"/>
      <c r="M69" s="112"/>
      <c r="N69" s="197"/>
    </row>
    <row r="70" spans="1:14" hidden="1" x14ac:dyDescent="0.2">
      <c r="A70" t="s">
        <v>154</v>
      </c>
      <c r="C70" s="89">
        <v>44690</v>
      </c>
      <c r="D70" s="4" t="s">
        <v>314</v>
      </c>
      <c r="E70" s="256"/>
      <c r="F70" s="4"/>
      <c r="G70" s="38" t="s">
        <v>315</v>
      </c>
      <c r="H70" s="38" t="s">
        <v>316</v>
      </c>
      <c r="I70" s="38">
        <v>15400.71</v>
      </c>
      <c r="J70" s="224"/>
      <c r="K70" s="112"/>
      <c r="L70" s="112"/>
      <c r="M70" s="112"/>
      <c r="N70" s="197"/>
    </row>
    <row r="71" spans="1:14" hidden="1" x14ac:dyDescent="0.2">
      <c r="A71" t="s">
        <v>154</v>
      </c>
      <c r="C71" s="79">
        <v>44690</v>
      </c>
      <c r="D71" s="2" t="s">
        <v>317</v>
      </c>
      <c r="E71" s="8"/>
      <c r="F71" s="2" t="s">
        <v>90</v>
      </c>
      <c r="G71" s="3">
        <v>9000</v>
      </c>
      <c r="H71" s="3">
        <f t="shared" ref="H71:H83" si="7">IF(F71="Can",G71*0.65,0)</f>
        <v>5850</v>
      </c>
      <c r="I71" s="3">
        <f t="shared" ref="I71:I83" si="8">IF(F71="Selim",G71*0.35,0)</f>
        <v>0</v>
      </c>
      <c r="J71" s="224"/>
      <c r="K71" s="112"/>
      <c r="L71" s="112"/>
      <c r="M71" s="112"/>
      <c r="N71" s="197"/>
    </row>
    <row r="72" spans="1:14" hidden="1" x14ac:dyDescent="0.2">
      <c r="A72" t="s">
        <v>154</v>
      </c>
      <c r="C72" s="79">
        <v>44711</v>
      </c>
      <c r="D72" s="2" t="s">
        <v>318</v>
      </c>
      <c r="E72" s="8"/>
      <c r="F72" s="2" t="s">
        <v>90</v>
      </c>
      <c r="G72" s="3">
        <v>4000</v>
      </c>
      <c r="H72" s="3">
        <f t="shared" si="7"/>
        <v>2600</v>
      </c>
      <c r="I72" s="3">
        <f t="shared" si="8"/>
        <v>0</v>
      </c>
      <c r="J72" s="224"/>
      <c r="K72" s="112"/>
      <c r="L72" s="112"/>
      <c r="M72" s="112"/>
      <c r="N72" s="197"/>
    </row>
    <row r="73" spans="1:14" hidden="1" x14ac:dyDescent="0.2">
      <c r="A73" t="s">
        <v>154</v>
      </c>
      <c r="C73" s="79">
        <v>44714</v>
      </c>
      <c r="D73" s="2" t="s">
        <v>319</v>
      </c>
      <c r="E73" s="8"/>
      <c r="F73" s="2" t="s">
        <v>89</v>
      </c>
      <c r="G73" s="3">
        <v>11000</v>
      </c>
      <c r="H73" s="3">
        <f t="shared" si="7"/>
        <v>0</v>
      </c>
      <c r="I73" s="3">
        <f t="shared" si="8"/>
        <v>3849.9999999999995</v>
      </c>
      <c r="J73" s="224"/>
      <c r="K73" s="112"/>
      <c r="L73" s="112"/>
      <c r="M73" s="112"/>
      <c r="N73" s="197"/>
    </row>
    <row r="74" spans="1:14" hidden="1" x14ac:dyDescent="0.2">
      <c r="A74" t="s">
        <v>154</v>
      </c>
      <c r="C74" s="79">
        <v>44719</v>
      </c>
      <c r="D74" s="2" t="s">
        <v>320</v>
      </c>
      <c r="E74" s="8"/>
      <c r="F74" s="2" t="s">
        <v>90</v>
      </c>
      <c r="G74" s="3">
        <v>4000</v>
      </c>
      <c r="H74" s="3">
        <f t="shared" si="7"/>
        <v>2600</v>
      </c>
      <c r="I74" s="3">
        <f t="shared" si="8"/>
        <v>0</v>
      </c>
      <c r="J74" s="224"/>
      <c r="K74" s="112"/>
      <c r="L74" s="112"/>
      <c r="M74" s="112"/>
      <c r="N74" s="197"/>
    </row>
    <row r="75" spans="1:14" hidden="1" x14ac:dyDescent="0.2">
      <c r="A75" t="s">
        <v>154</v>
      </c>
      <c r="C75" s="79">
        <v>44722</v>
      </c>
      <c r="D75" s="2" t="s">
        <v>321</v>
      </c>
      <c r="E75" s="8"/>
      <c r="F75" s="2" t="s">
        <v>90</v>
      </c>
      <c r="G75" s="3">
        <v>9000</v>
      </c>
      <c r="H75" s="3">
        <f t="shared" si="7"/>
        <v>5850</v>
      </c>
      <c r="I75" s="3">
        <f t="shared" si="8"/>
        <v>0</v>
      </c>
      <c r="J75" s="224"/>
      <c r="K75" s="112"/>
      <c r="L75" s="112"/>
      <c r="M75" s="112"/>
      <c r="N75" s="197"/>
    </row>
    <row r="76" spans="1:14" hidden="1" x14ac:dyDescent="0.2">
      <c r="A76" t="s">
        <v>154</v>
      </c>
      <c r="C76" s="79">
        <v>44735</v>
      </c>
      <c r="D76" s="2" t="s">
        <v>322</v>
      </c>
      <c r="E76" s="8"/>
      <c r="F76" s="2" t="s">
        <v>90</v>
      </c>
      <c r="G76" s="3">
        <v>4000</v>
      </c>
      <c r="H76" s="3">
        <f t="shared" si="7"/>
        <v>2600</v>
      </c>
      <c r="I76" s="3">
        <f t="shared" si="8"/>
        <v>0</v>
      </c>
      <c r="J76" s="224"/>
      <c r="K76" s="112"/>
      <c r="L76" s="112"/>
      <c r="M76" s="112"/>
      <c r="N76" s="197"/>
    </row>
    <row r="77" spans="1:14" hidden="1" x14ac:dyDescent="0.2">
      <c r="A77" t="s">
        <v>154</v>
      </c>
      <c r="C77" s="79">
        <v>44740</v>
      </c>
      <c r="D77" s="2" t="s">
        <v>323</v>
      </c>
      <c r="E77" s="8"/>
      <c r="F77" s="2" t="s">
        <v>89</v>
      </c>
      <c r="G77" s="3">
        <v>11000</v>
      </c>
      <c r="H77" s="3">
        <f t="shared" si="7"/>
        <v>0</v>
      </c>
      <c r="I77" s="3">
        <f t="shared" si="8"/>
        <v>3849.9999999999995</v>
      </c>
      <c r="J77" s="224"/>
      <c r="K77" s="112"/>
      <c r="L77" s="112"/>
      <c r="M77" s="112"/>
      <c r="N77" s="197"/>
    </row>
    <row r="78" spans="1:14" hidden="1" x14ac:dyDescent="0.2">
      <c r="A78" t="s">
        <v>154</v>
      </c>
      <c r="C78" s="79">
        <v>44755</v>
      </c>
      <c r="D78" s="2" t="s">
        <v>324</v>
      </c>
      <c r="E78" s="8"/>
      <c r="F78" s="2" t="s">
        <v>90</v>
      </c>
      <c r="G78" s="3">
        <v>4000</v>
      </c>
      <c r="H78" s="3">
        <f t="shared" si="7"/>
        <v>2600</v>
      </c>
      <c r="I78" s="3">
        <f t="shared" si="8"/>
        <v>0</v>
      </c>
      <c r="J78" s="224"/>
      <c r="K78" s="112"/>
      <c r="L78" s="112"/>
      <c r="M78" s="112"/>
      <c r="N78" s="197"/>
    </row>
    <row r="79" spans="1:14" hidden="1" x14ac:dyDescent="0.2">
      <c r="A79" t="s">
        <v>154</v>
      </c>
      <c r="C79" s="79">
        <v>44755</v>
      </c>
      <c r="D79" s="2" t="s">
        <v>325</v>
      </c>
      <c r="E79" s="8"/>
      <c r="F79" s="2" t="s">
        <v>90</v>
      </c>
      <c r="G79" s="3">
        <v>9000</v>
      </c>
      <c r="H79" s="3">
        <f t="shared" si="7"/>
        <v>5850</v>
      </c>
      <c r="I79" s="3">
        <f t="shared" si="8"/>
        <v>0</v>
      </c>
      <c r="J79" s="224"/>
      <c r="K79" s="112"/>
      <c r="L79" s="112"/>
      <c r="M79" s="112"/>
      <c r="N79" s="197"/>
    </row>
    <row r="80" spans="1:14" hidden="1" x14ac:dyDescent="0.2">
      <c r="A80" t="s">
        <v>154</v>
      </c>
      <c r="C80" s="79">
        <v>44768</v>
      </c>
      <c r="D80" s="2" t="s">
        <v>326</v>
      </c>
      <c r="E80" s="8"/>
      <c r="F80" s="2" t="s">
        <v>90</v>
      </c>
      <c r="G80" s="3">
        <v>4000</v>
      </c>
      <c r="H80" s="3">
        <f t="shared" si="7"/>
        <v>2600</v>
      </c>
      <c r="I80" s="3">
        <f t="shared" si="8"/>
        <v>0</v>
      </c>
      <c r="J80" s="224"/>
      <c r="K80" s="112"/>
      <c r="L80" s="112"/>
      <c r="M80" s="112"/>
      <c r="N80" s="197"/>
    </row>
    <row r="81" spans="1:14" hidden="1" x14ac:dyDescent="0.2">
      <c r="A81" t="s">
        <v>154</v>
      </c>
      <c r="C81" s="79">
        <v>44768</v>
      </c>
      <c r="D81" s="2" t="s">
        <v>327</v>
      </c>
      <c r="E81" s="8"/>
      <c r="F81" s="2" t="s">
        <v>89</v>
      </c>
      <c r="G81" s="3">
        <v>11000</v>
      </c>
      <c r="H81" s="3">
        <f t="shared" si="7"/>
        <v>0</v>
      </c>
      <c r="I81" s="3">
        <f t="shared" si="8"/>
        <v>3849.9999999999995</v>
      </c>
      <c r="J81" s="224"/>
      <c r="K81" s="112"/>
      <c r="L81" s="112"/>
      <c r="M81" s="112"/>
      <c r="N81" s="197"/>
    </row>
    <row r="82" spans="1:14" hidden="1" x14ac:dyDescent="0.2">
      <c r="A82" t="s">
        <v>154</v>
      </c>
      <c r="C82" s="79">
        <v>44781</v>
      </c>
      <c r="D82" s="2" t="s">
        <v>328</v>
      </c>
      <c r="E82" s="8"/>
      <c r="F82" s="2" t="s">
        <v>90</v>
      </c>
      <c r="G82" s="3">
        <v>4000</v>
      </c>
      <c r="H82" s="3">
        <f t="shared" si="7"/>
        <v>2600</v>
      </c>
      <c r="I82" s="3">
        <f t="shared" si="8"/>
        <v>0</v>
      </c>
      <c r="J82" s="224"/>
      <c r="K82" s="112"/>
      <c r="L82" s="112"/>
      <c r="M82" s="112"/>
      <c r="N82" s="197"/>
    </row>
    <row r="83" spans="1:14" hidden="1" x14ac:dyDescent="0.2">
      <c r="A83" t="s">
        <v>154</v>
      </c>
      <c r="C83" s="79">
        <v>44788</v>
      </c>
      <c r="D83" s="2" t="s">
        <v>329</v>
      </c>
      <c r="E83" s="8"/>
      <c r="F83" s="2" t="s">
        <v>90</v>
      </c>
      <c r="G83" s="3">
        <v>9000</v>
      </c>
      <c r="H83" s="3">
        <f t="shared" si="7"/>
        <v>5850</v>
      </c>
      <c r="I83" s="3">
        <f t="shared" si="8"/>
        <v>0</v>
      </c>
      <c r="J83" s="224"/>
      <c r="K83" s="112"/>
      <c r="L83" s="112"/>
      <c r="M83" s="112"/>
      <c r="N83" s="197"/>
    </row>
    <row r="84" spans="1:14" hidden="1" x14ac:dyDescent="0.2">
      <c r="A84" t="s">
        <v>154</v>
      </c>
      <c r="C84" s="89">
        <v>44788</v>
      </c>
      <c r="D84" s="4" t="s">
        <v>330</v>
      </c>
      <c r="E84" s="256"/>
      <c r="F84" s="4"/>
      <c r="G84" s="38"/>
      <c r="H84" s="38"/>
      <c r="I84" s="38">
        <v>45199.29</v>
      </c>
      <c r="J84" s="224"/>
      <c r="K84" s="112"/>
      <c r="L84" s="112"/>
      <c r="M84" s="112"/>
      <c r="N84" s="197"/>
    </row>
    <row r="85" spans="1:14" hidden="1" x14ac:dyDescent="0.2">
      <c r="A85" t="s">
        <v>154</v>
      </c>
      <c r="C85" s="79">
        <v>44802</v>
      </c>
      <c r="D85" s="2" t="s">
        <v>331</v>
      </c>
      <c r="E85" s="8"/>
      <c r="F85" s="2" t="s">
        <v>90</v>
      </c>
      <c r="G85" s="3">
        <v>4000</v>
      </c>
      <c r="H85" s="3">
        <f t="shared" ref="H85:H90" si="9">IF(F85="Can",G85*0.65,0)</f>
        <v>2600</v>
      </c>
      <c r="I85" s="3">
        <f t="shared" ref="I85:I90" si="10">IF(F85="Selim",G85*0.35,0)</f>
        <v>0</v>
      </c>
      <c r="J85" s="224"/>
      <c r="K85" s="112"/>
      <c r="L85" s="112"/>
      <c r="M85" s="112"/>
      <c r="N85" s="197"/>
    </row>
    <row r="86" spans="1:14" hidden="1" x14ac:dyDescent="0.2">
      <c r="A86" t="s">
        <v>154</v>
      </c>
      <c r="C86" s="79">
        <v>44811</v>
      </c>
      <c r="D86" s="2" t="s">
        <v>332</v>
      </c>
      <c r="E86" s="8"/>
      <c r="F86" s="2" t="s">
        <v>89</v>
      </c>
      <c r="G86" s="3">
        <v>11000</v>
      </c>
      <c r="H86" s="3">
        <f t="shared" si="9"/>
        <v>0</v>
      </c>
      <c r="I86" s="3">
        <f t="shared" si="10"/>
        <v>3849.9999999999995</v>
      </c>
      <c r="J86" s="224"/>
      <c r="K86" s="112"/>
      <c r="L86" s="112"/>
      <c r="M86" s="112"/>
      <c r="N86" s="197"/>
    </row>
    <row r="87" spans="1:14" hidden="1" x14ac:dyDescent="0.2">
      <c r="A87" t="s">
        <v>154</v>
      </c>
      <c r="C87" s="79">
        <v>44813</v>
      </c>
      <c r="D87" s="2" t="s">
        <v>333</v>
      </c>
      <c r="E87" s="8"/>
      <c r="F87" s="2" t="s">
        <v>90</v>
      </c>
      <c r="G87" s="3">
        <v>4000</v>
      </c>
      <c r="H87" s="3">
        <f t="shared" si="9"/>
        <v>2600</v>
      </c>
      <c r="I87" s="3">
        <f t="shared" si="10"/>
        <v>0</v>
      </c>
      <c r="J87" s="224"/>
      <c r="K87" s="112"/>
      <c r="L87" s="112"/>
      <c r="M87" s="112"/>
      <c r="N87" s="197"/>
    </row>
    <row r="88" spans="1:14" hidden="1" x14ac:dyDescent="0.2">
      <c r="A88" t="s">
        <v>154</v>
      </c>
      <c r="C88" s="79">
        <v>44817</v>
      </c>
      <c r="D88" s="2" t="s">
        <v>334</v>
      </c>
      <c r="E88" s="8"/>
      <c r="F88" s="2" t="s">
        <v>90</v>
      </c>
      <c r="G88" s="3">
        <v>9000</v>
      </c>
      <c r="H88" s="3">
        <f t="shared" si="9"/>
        <v>5850</v>
      </c>
      <c r="I88" s="3">
        <f t="shared" si="10"/>
        <v>0</v>
      </c>
      <c r="J88" s="224"/>
      <c r="K88" s="112"/>
      <c r="L88" s="112"/>
      <c r="M88" s="112"/>
      <c r="N88" s="197"/>
    </row>
    <row r="89" spans="1:14" hidden="1" x14ac:dyDescent="0.2">
      <c r="A89" t="s">
        <v>154</v>
      </c>
      <c r="C89" s="79">
        <v>44810</v>
      </c>
      <c r="D89" s="2" t="s">
        <v>335</v>
      </c>
      <c r="E89" s="8"/>
      <c r="F89" s="2" t="s">
        <v>89</v>
      </c>
      <c r="G89" s="3">
        <v>100000</v>
      </c>
      <c r="H89" s="3">
        <f t="shared" si="9"/>
        <v>0</v>
      </c>
      <c r="I89" s="3">
        <f t="shared" si="10"/>
        <v>35000</v>
      </c>
      <c r="J89" s="224"/>
      <c r="K89" s="112"/>
      <c r="L89" s="112"/>
      <c r="M89" s="112"/>
      <c r="N89" s="197"/>
    </row>
    <row r="90" spans="1:14" hidden="1" x14ac:dyDescent="0.2">
      <c r="A90" t="s">
        <v>154</v>
      </c>
      <c r="C90" s="79">
        <v>44817</v>
      </c>
      <c r="D90" s="2" t="s">
        <v>336</v>
      </c>
      <c r="E90" s="8"/>
      <c r="F90" s="2" t="s">
        <v>89</v>
      </c>
      <c r="G90" s="3">
        <v>53000</v>
      </c>
      <c r="H90" s="3">
        <f t="shared" si="9"/>
        <v>0</v>
      </c>
      <c r="I90" s="3">
        <f t="shared" si="10"/>
        <v>18550</v>
      </c>
      <c r="J90" s="224"/>
      <c r="K90" s="112"/>
      <c r="L90" s="112"/>
      <c r="M90" s="112"/>
      <c r="N90" s="197"/>
    </row>
    <row r="91" spans="1:14" hidden="1" x14ac:dyDescent="0.2">
      <c r="A91" t="s">
        <v>154</v>
      </c>
      <c r="C91" s="257">
        <v>44817</v>
      </c>
      <c r="D91" s="258" t="s">
        <v>337</v>
      </c>
      <c r="E91" s="259"/>
      <c r="F91" s="258"/>
      <c r="G91" s="260">
        <v>0</v>
      </c>
      <c r="H91" s="260">
        <v>46350</v>
      </c>
      <c r="I91" s="260">
        <v>0</v>
      </c>
      <c r="J91" s="224"/>
      <c r="K91" s="112"/>
      <c r="L91" s="112"/>
      <c r="M91" s="112"/>
      <c r="N91" s="197"/>
    </row>
    <row r="92" spans="1:14" hidden="1" x14ac:dyDescent="0.2">
      <c r="A92" t="s">
        <v>154</v>
      </c>
      <c r="C92" s="79">
        <v>44831</v>
      </c>
      <c r="D92" s="2" t="s">
        <v>338</v>
      </c>
      <c r="E92" s="8"/>
      <c r="F92" s="2" t="s">
        <v>90</v>
      </c>
      <c r="G92" s="3">
        <v>4000</v>
      </c>
      <c r="H92" s="3">
        <f t="shared" ref="H92:H94" si="11">IF(F92="Can",G92*0.65,0)</f>
        <v>2600</v>
      </c>
      <c r="I92" s="3">
        <f t="shared" ref="I92:I94" si="12">IF(F92="Selim",G92*0.35,0)</f>
        <v>0</v>
      </c>
      <c r="J92" s="224"/>
      <c r="K92" s="112"/>
      <c r="L92" s="112"/>
      <c r="M92" s="112"/>
      <c r="N92" s="197"/>
    </row>
    <row r="93" spans="1:14" hidden="1" x14ac:dyDescent="0.2">
      <c r="A93" t="s">
        <v>154</v>
      </c>
      <c r="C93" s="79">
        <v>44831</v>
      </c>
      <c r="D93" s="2" t="s">
        <v>339</v>
      </c>
      <c r="E93" s="8"/>
      <c r="F93" s="2" t="s">
        <v>89</v>
      </c>
      <c r="G93" s="3">
        <v>11000</v>
      </c>
      <c r="H93" s="3">
        <f t="shared" si="11"/>
        <v>0</v>
      </c>
      <c r="I93" s="3">
        <f t="shared" si="12"/>
        <v>3849.9999999999995</v>
      </c>
      <c r="J93" s="224"/>
      <c r="K93" s="112"/>
      <c r="L93" s="112"/>
      <c r="M93" s="112"/>
      <c r="N93" s="197"/>
    </row>
    <row r="94" spans="1:14" hidden="1" x14ac:dyDescent="0.2">
      <c r="A94" t="s">
        <v>154</v>
      </c>
      <c r="C94" s="79">
        <v>44845</v>
      </c>
      <c r="D94" s="2" t="s">
        <v>340</v>
      </c>
      <c r="E94" s="8"/>
      <c r="F94" s="2" t="s">
        <v>90</v>
      </c>
      <c r="G94" s="3">
        <v>4400</v>
      </c>
      <c r="H94" s="3">
        <f t="shared" si="11"/>
        <v>2860</v>
      </c>
      <c r="I94" s="3">
        <f t="shared" si="12"/>
        <v>0</v>
      </c>
      <c r="J94" s="224"/>
      <c r="K94" s="112"/>
      <c r="L94" s="112"/>
      <c r="M94" s="112"/>
      <c r="N94" s="197"/>
    </row>
    <row r="95" spans="1:14" hidden="1" x14ac:dyDescent="0.2">
      <c r="A95" t="s">
        <v>154</v>
      </c>
      <c r="C95" s="79">
        <v>44852</v>
      </c>
      <c r="D95" s="2" t="s">
        <v>341</v>
      </c>
      <c r="E95" s="8"/>
      <c r="F95" s="2" t="s">
        <v>89</v>
      </c>
      <c r="G95" s="3">
        <v>0</v>
      </c>
      <c r="H95" s="3">
        <v>0</v>
      </c>
      <c r="I95" s="3">
        <v>1969</v>
      </c>
      <c r="J95" s="224"/>
      <c r="K95" s="112"/>
      <c r="L95" s="112"/>
      <c r="M95" s="112"/>
      <c r="N95" s="197"/>
    </row>
    <row r="96" spans="1:14" hidden="1" x14ac:dyDescent="0.2">
      <c r="A96" t="s">
        <v>154</v>
      </c>
      <c r="C96" s="79">
        <v>44855</v>
      </c>
      <c r="D96" s="2" t="s">
        <v>342</v>
      </c>
      <c r="E96" s="8"/>
      <c r="F96" s="2" t="s">
        <v>89</v>
      </c>
      <c r="G96" s="3">
        <v>19600</v>
      </c>
      <c r="H96" s="3">
        <f t="shared" ref="H96:H101" si="13">IF(F96="Can",G96*0.65,0)</f>
        <v>0</v>
      </c>
      <c r="I96" s="3">
        <f t="shared" ref="I96:I101" si="14">IF(F96="Selim",G96*0.35,0)</f>
        <v>6860</v>
      </c>
      <c r="J96" s="224"/>
      <c r="K96" s="112"/>
      <c r="L96" s="112"/>
      <c r="M96" s="112"/>
      <c r="N96" s="197"/>
    </row>
    <row r="97" spans="1:14" hidden="1" x14ac:dyDescent="0.2">
      <c r="A97" t="s">
        <v>154</v>
      </c>
      <c r="C97" s="79">
        <v>44879</v>
      </c>
      <c r="D97" s="2" t="s">
        <v>343</v>
      </c>
      <c r="E97" s="8"/>
      <c r="F97" s="2" t="s">
        <v>90</v>
      </c>
      <c r="G97" s="3">
        <v>4400</v>
      </c>
      <c r="H97" s="3">
        <f t="shared" si="13"/>
        <v>2860</v>
      </c>
      <c r="I97" s="3">
        <f t="shared" si="14"/>
        <v>0</v>
      </c>
      <c r="J97" s="224"/>
      <c r="K97" s="112"/>
      <c r="L97" s="112"/>
      <c r="M97" s="112"/>
      <c r="N97" s="197"/>
    </row>
    <row r="98" spans="1:14" hidden="1" x14ac:dyDescent="0.2">
      <c r="A98" t="s">
        <v>154</v>
      </c>
      <c r="C98" s="79">
        <v>44881</v>
      </c>
      <c r="D98" s="2" t="s">
        <v>344</v>
      </c>
      <c r="E98" s="8"/>
      <c r="F98" s="2" t="s">
        <v>90</v>
      </c>
      <c r="G98" s="3">
        <v>4000</v>
      </c>
      <c r="H98" s="3">
        <f t="shared" si="13"/>
        <v>2600</v>
      </c>
      <c r="I98" s="3">
        <f t="shared" si="14"/>
        <v>0</v>
      </c>
      <c r="J98" s="224"/>
      <c r="K98" s="112"/>
      <c r="L98" s="112"/>
      <c r="M98" s="112"/>
      <c r="N98" s="197"/>
    </row>
    <row r="99" spans="1:14" hidden="1" x14ac:dyDescent="0.2">
      <c r="A99" t="s">
        <v>154</v>
      </c>
      <c r="C99" s="79">
        <v>44887</v>
      </c>
      <c r="D99" s="2" t="s">
        <v>345</v>
      </c>
      <c r="E99" s="8"/>
      <c r="F99" s="2" t="s">
        <v>90</v>
      </c>
      <c r="G99" s="3">
        <v>19600</v>
      </c>
      <c r="H99" s="3">
        <f t="shared" si="13"/>
        <v>12740</v>
      </c>
      <c r="I99" s="3">
        <f t="shared" si="14"/>
        <v>0</v>
      </c>
      <c r="J99" s="224"/>
      <c r="K99" s="112"/>
      <c r="L99" s="112"/>
      <c r="M99" s="112"/>
      <c r="N99" s="197"/>
    </row>
    <row r="100" spans="1:14" hidden="1" x14ac:dyDescent="0.2">
      <c r="A100" t="s">
        <v>154</v>
      </c>
      <c r="C100" s="79">
        <v>44887</v>
      </c>
      <c r="D100" s="2" t="s">
        <v>346</v>
      </c>
      <c r="E100" s="8"/>
      <c r="F100" s="2" t="s">
        <v>90</v>
      </c>
      <c r="G100" s="3">
        <v>11000</v>
      </c>
      <c r="H100" s="3">
        <f t="shared" si="13"/>
        <v>7150</v>
      </c>
      <c r="I100" s="3">
        <f t="shared" si="14"/>
        <v>0</v>
      </c>
      <c r="J100" s="224"/>
      <c r="K100" s="112"/>
      <c r="L100" s="112"/>
      <c r="M100" s="112"/>
      <c r="N100" s="197"/>
    </row>
    <row r="101" spans="1:14" hidden="1" x14ac:dyDescent="0.2">
      <c r="A101" t="s">
        <v>154</v>
      </c>
      <c r="C101" s="79">
        <v>44895</v>
      </c>
      <c r="D101" s="2" t="s">
        <v>347</v>
      </c>
      <c r="E101" s="8"/>
      <c r="F101" s="2" t="s">
        <v>89</v>
      </c>
      <c r="G101" s="3">
        <v>28500</v>
      </c>
      <c r="H101" s="3">
        <f t="shared" si="13"/>
        <v>0</v>
      </c>
      <c r="I101" s="3">
        <f t="shared" si="14"/>
        <v>9975</v>
      </c>
      <c r="J101" s="224"/>
      <c r="K101" s="112"/>
      <c r="L101" s="112"/>
      <c r="M101" s="112"/>
      <c r="N101" s="197"/>
    </row>
    <row r="102" spans="1:14" hidden="1" x14ac:dyDescent="0.2">
      <c r="A102" t="s">
        <v>154</v>
      </c>
      <c r="C102" s="79">
        <v>44896</v>
      </c>
      <c r="D102" s="2" t="s">
        <v>348</v>
      </c>
      <c r="E102" s="8"/>
      <c r="F102" s="2" t="s">
        <v>90</v>
      </c>
      <c r="G102" s="3">
        <v>4000</v>
      </c>
      <c r="H102" s="3">
        <f>IF(F102="Can",G102*0.65,0)</f>
        <v>2600</v>
      </c>
      <c r="I102" s="3">
        <f>IF(F102="Selim",G102*0.35,0)</f>
        <v>0</v>
      </c>
      <c r="J102" s="224"/>
      <c r="K102" s="112"/>
      <c r="L102" s="112"/>
      <c r="M102" s="112"/>
      <c r="N102" s="197"/>
    </row>
    <row r="103" spans="1:14" hidden="1" x14ac:dyDescent="0.2">
      <c r="A103" t="s">
        <v>154</v>
      </c>
      <c r="C103" s="79">
        <v>45273</v>
      </c>
      <c r="D103" s="2" t="s">
        <v>349</v>
      </c>
      <c r="E103" s="8"/>
      <c r="F103" s="2" t="s">
        <v>90</v>
      </c>
      <c r="G103" s="3">
        <v>4400</v>
      </c>
      <c r="H103" s="3">
        <f t="shared" ref="H103:H104" si="15">IF(F103="Can",G103*0.65,0)</f>
        <v>2860</v>
      </c>
      <c r="I103" s="3">
        <f t="shared" ref="I103:I104" si="16">IF(F103="Selim",G103*0.35,0)</f>
        <v>0</v>
      </c>
      <c r="J103" s="224"/>
      <c r="K103" s="112"/>
      <c r="L103" s="112"/>
      <c r="M103" s="112"/>
      <c r="N103" s="197"/>
    </row>
    <row r="104" spans="1:14" hidden="1" x14ac:dyDescent="0.2">
      <c r="A104" t="s">
        <v>154</v>
      </c>
      <c r="C104" s="79">
        <v>44910</v>
      </c>
      <c r="D104" s="2" t="s">
        <v>350</v>
      </c>
      <c r="E104" s="8"/>
      <c r="F104" s="2" t="s">
        <v>90</v>
      </c>
      <c r="G104" s="3">
        <v>19600</v>
      </c>
      <c r="H104" s="3">
        <f t="shared" si="15"/>
        <v>12740</v>
      </c>
      <c r="I104" s="3">
        <f t="shared" si="16"/>
        <v>0</v>
      </c>
      <c r="J104" s="224"/>
      <c r="K104" s="112"/>
      <c r="L104" s="112"/>
      <c r="M104" s="112"/>
      <c r="N104" s="197"/>
    </row>
    <row r="105" spans="1:14" hidden="1" x14ac:dyDescent="0.2">
      <c r="A105" t="s">
        <v>154</v>
      </c>
      <c r="C105" s="79">
        <v>44915</v>
      </c>
      <c r="D105" s="2" t="s">
        <v>351</v>
      </c>
      <c r="E105" s="8"/>
      <c r="F105" s="2" t="s">
        <v>90</v>
      </c>
      <c r="G105" s="3">
        <v>4000</v>
      </c>
      <c r="H105" s="3">
        <f>IF(F105="Can",G105*0.65,0)</f>
        <v>2600</v>
      </c>
      <c r="I105" s="3">
        <f>IF(F105="Selim",G105*0.35,0)</f>
        <v>0</v>
      </c>
      <c r="J105" s="224"/>
      <c r="K105" s="112"/>
      <c r="L105" s="112"/>
      <c r="M105" s="112"/>
      <c r="N105" s="197"/>
    </row>
    <row r="106" spans="1:14" hidden="1" x14ac:dyDescent="0.2">
      <c r="A106" t="s">
        <v>154</v>
      </c>
      <c r="C106" s="79">
        <v>44915</v>
      </c>
      <c r="D106" s="2" t="s">
        <v>352</v>
      </c>
      <c r="E106" s="8"/>
      <c r="F106" s="2" t="s">
        <v>89</v>
      </c>
      <c r="G106" s="3">
        <v>58000</v>
      </c>
      <c r="H106" s="3">
        <f t="shared" ref="H106:H109" si="17">IF(F106="Can",G106*0.65,0)</f>
        <v>0</v>
      </c>
      <c r="I106" s="3">
        <f t="shared" ref="I106:I109" si="18">IF(F106="Selim",G106*0.35,0)</f>
        <v>20300</v>
      </c>
      <c r="J106" s="224"/>
      <c r="K106" s="112"/>
      <c r="L106" s="112"/>
      <c r="M106" s="112"/>
      <c r="N106" s="197"/>
    </row>
    <row r="107" spans="1:14" hidden="1" x14ac:dyDescent="0.2">
      <c r="A107" t="s">
        <v>154</v>
      </c>
      <c r="C107" s="79">
        <v>44922</v>
      </c>
      <c r="D107" s="2" t="s">
        <v>353</v>
      </c>
      <c r="E107" s="8"/>
      <c r="F107" s="2" t="s">
        <v>89</v>
      </c>
      <c r="G107" s="3">
        <v>28500</v>
      </c>
      <c r="H107" s="3">
        <f t="shared" si="17"/>
        <v>0</v>
      </c>
      <c r="I107" s="3">
        <f t="shared" si="18"/>
        <v>9975</v>
      </c>
      <c r="J107" s="224"/>
      <c r="K107" s="112"/>
      <c r="L107" s="112"/>
      <c r="M107" s="112"/>
      <c r="N107" s="197"/>
    </row>
    <row r="108" spans="1:14" hidden="1" x14ac:dyDescent="0.2">
      <c r="A108" t="s">
        <v>154</v>
      </c>
      <c r="C108" s="79">
        <v>44939</v>
      </c>
      <c r="D108" s="2" t="s">
        <v>354</v>
      </c>
      <c r="E108" s="8"/>
      <c r="F108" s="2" t="s">
        <v>90</v>
      </c>
      <c r="G108" s="3">
        <v>4400</v>
      </c>
      <c r="H108" s="3">
        <f t="shared" si="17"/>
        <v>2860</v>
      </c>
      <c r="I108" s="3">
        <f t="shared" si="18"/>
        <v>0</v>
      </c>
      <c r="J108" s="224"/>
      <c r="K108" s="112"/>
      <c r="L108" s="112"/>
      <c r="M108" s="112"/>
      <c r="N108" s="197"/>
    </row>
    <row r="109" spans="1:14" hidden="1" x14ac:dyDescent="0.2">
      <c r="A109" t="s">
        <v>154</v>
      </c>
      <c r="C109" s="79">
        <v>44944</v>
      </c>
      <c r="D109" s="2" t="s">
        <v>355</v>
      </c>
      <c r="E109" s="8"/>
      <c r="F109" s="2" t="s">
        <v>90</v>
      </c>
      <c r="G109" s="3">
        <v>19600</v>
      </c>
      <c r="H109" s="3">
        <f t="shared" si="17"/>
        <v>12740</v>
      </c>
      <c r="I109" s="3">
        <f t="shared" si="18"/>
        <v>0</v>
      </c>
      <c r="J109" s="224"/>
      <c r="K109" s="112"/>
      <c r="L109" s="112"/>
      <c r="M109" s="112"/>
      <c r="N109" s="197"/>
    </row>
    <row r="110" spans="1:14" hidden="1" x14ac:dyDescent="0.2">
      <c r="A110" t="s">
        <v>154</v>
      </c>
      <c r="C110" s="79">
        <v>44946</v>
      </c>
      <c r="D110" s="2" t="s">
        <v>356</v>
      </c>
      <c r="E110" s="8"/>
      <c r="F110" s="2" t="s">
        <v>90</v>
      </c>
      <c r="G110" s="3">
        <v>4000</v>
      </c>
      <c r="H110" s="3">
        <f>IF(F110="Can",G110*0.65,0)</f>
        <v>2600</v>
      </c>
      <c r="I110" s="3">
        <f>IF(F110="Selim",G110*0.35,0)</f>
        <v>0</v>
      </c>
      <c r="J110" s="224"/>
      <c r="K110" s="112"/>
      <c r="L110" s="112"/>
      <c r="M110" s="112"/>
      <c r="N110" s="197"/>
    </row>
    <row r="111" spans="1:14" hidden="1" x14ac:dyDescent="0.2">
      <c r="A111" t="s">
        <v>154</v>
      </c>
      <c r="C111" s="79">
        <v>44951</v>
      </c>
      <c r="D111" s="2" t="s">
        <v>357</v>
      </c>
      <c r="E111" s="8"/>
      <c r="F111" s="2" t="s">
        <v>89</v>
      </c>
      <c r="G111" s="3">
        <v>23000</v>
      </c>
      <c r="H111" s="3">
        <f t="shared" ref="H111" si="19">IF(F111="Can",G111*0.65,0)</f>
        <v>0</v>
      </c>
      <c r="I111" s="3">
        <f t="shared" ref="I111" si="20">IF(F111="Selim",G111*0.35,0)</f>
        <v>8049.9999999999991</v>
      </c>
      <c r="J111" s="224"/>
      <c r="K111" s="112"/>
      <c r="L111" s="112"/>
      <c r="M111" s="112"/>
      <c r="N111" s="197"/>
    </row>
    <row r="112" spans="1:14" hidden="1" x14ac:dyDescent="0.2">
      <c r="A112" t="s">
        <v>154</v>
      </c>
      <c r="C112" s="261">
        <v>44957</v>
      </c>
      <c r="D112" s="262" t="s">
        <v>358</v>
      </c>
      <c r="E112" s="263"/>
      <c r="F112" s="262"/>
      <c r="G112" s="264">
        <v>0</v>
      </c>
      <c r="H112" s="264"/>
      <c r="I112" s="264">
        <v>8831</v>
      </c>
      <c r="J112" s="224"/>
      <c r="K112" s="112"/>
      <c r="L112" s="112"/>
      <c r="M112" s="112"/>
      <c r="N112" s="197"/>
    </row>
    <row r="113" spans="1:14" hidden="1" x14ac:dyDescent="0.2">
      <c r="A113" t="s">
        <v>154</v>
      </c>
      <c r="C113" s="79">
        <v>44958</v>
      </c>
      <c r="D113" s="2" t="s">
        <v>359</v>
      </c>
      <c r="E113" s="8"/>
      <c r="F113" s="2" t="s">
        <v>89</v>
      </c>
      <c r="G113" s="3">
        <v>28500</v>
      </c>
      <c r="H113" s="3">
        <f t="shared" ref="H113:H140" si="21">IF(F113="Can",G113*0.65,0)</f>
        <v>0</v>
      </c>
      <c r="I113" s="3">
        <f t="shared" ref="I113:I140" si="22">IF(F113="Selim",G113*0.35,0)</f>
        <v>9975</v>
      </c>
      <c r="J113" s="224"/>
      <c r="K113" s="112"/>
      <c r="L113" s="112"/>
      <c r="M113" s="112"/>
      <c r="N113" s="197"/>
    </row>
    <row r="114" spans="1:14" hidden="1" x14ac:dyDescent="0.2">
      <c r="A114" t="s">
        <v>154</v>
      </c>
      <c r="C114" s="79">
        <v>44972</v>
      </c>
      <c r="D114" s="2" t="s">
        <v>360</v>
      </c>
      <c r="E114" s="8"/>
      <c r="F114" s="2" t="s">
        <v>90</v>
      </c>
      <c r="G114" s="3">
        <v>4400</v>
      </c>
      <c r="H114" s="3">
        <f t="shared" si="21"/>
        <v>2860</v>
      </c>
      <c r="I114" s="3">
        <f t="shared" si="22"/>
        <v>0</v>
      </c>
      <c r="J114" s="224"/>
      <c r="K114" s="112"/>
      <c r="L114" s="112"/>
      <c r="M114" s="112"/>
      <c r="N114" s="197"/>
    </row>
    <row r="115" spans="1:14" hidden="1" x14ac:dyDescent="0.2">
      <c r="A115" t="s">
        <v>154</v>
      </c>
      <c r="C115" s="79">
        <v>44978</v>
      </c>
      <c r="D115" s="2" t="s">
        <v>361</v>
      </c>
      <c r="E115" s="8"/>
      <c r="F115" s="2" t="s">
        <v>90</v>
      </c>
      <c r="G115" s="3">
        <v>19600</v>
      </c>
      <c r="H115" s="3">
        <f t="shared" si="21"/>
        <v>12740</v>
      </c>
      <c r="I115" s="3">
        <f t="shared" si="22"/>
        <v>0</v>
      </c>
      <c r="J115" s="224"/>
      <c r="K115" s="112"/>
      <c r="L115" s="112"/>
      <c r="M115" s="112"/>
      <c r="N115" s="197"/>
    </row>
    <row r="116" spans="1:14" hidden="1" x14ac:dyDescent="0.2">
      <c r="A116" t="s">
        <v>154</v>
      </c>
      <c r="C116" s="79">
        <v>44984</v>
      </c>
      <c r="D116" s="2" t="s">
        <v>362</v>
      </c>
      <c r="E116" s="8"/>
      <c r="F116" s="2" t="s">
        <v>90</v>
      </c>
      <c r="G116" s="3">
        <v>4000</v>
      </c>
      <c r="H116" s="3">
        <f t="shared" si="21"/>
        <v>2600</v>
      </c>
      <c r="I116" s="3">
        <f t="shared" si="22"/>
        <v>0</v>
      </c>
      <c r="J116" s="224"/>
      <c r="K116" s="112"/>
      <c r="L116" s="112"/>
      <c r="M116" s="112"/>
      <c r="N116" s="197"/>
    </row>
    <row r="117" spans="1:14" hidden="1" x14ac:dyDescent="0.2">
      <c r="A117" t="s">
        <v>154</v>
      </c>
      <c r="C117" s="79">
        <v>44985</v>
      </c>
      <c r="D117" s="2" t="s">
        <v>363</v>
      </c>
      <c r="E117" s="8"/>
      <c r="F117" s="2" t="s">
        <v>89</v>
      </c>
      <c r="G117" s="3">
        <v>23000</v>
      </c>
      <c r="H117" s="3">
        <f t="shared" si="21"/>
        <v>0</v>
      </c>
      <c r="I117" s="3">
        <f t="shared" si="22"/>
        <v>8049.9999999999991</v>
      </c>
      <c r="J117" s="224"/>
      <c r="K117" s="112"/>
      <c r="L117" s="112"/>
      <c r="M117" s="112"/>
      <c r="N117" s="197"/>
    </row>
    <row r="118" spans="1:14" hidden="1" x14ac:dyDescent="0.2">
      <c r="A118" t="s">
        <v>154</v>
      </c>
      <c r="C118" s="79">
        <v>44986</v>
      </c>
      <c r="D118" s="2" t="s">
        <v>364</v>
      </c>
      <c r="E118" s="8"/>
      <c r="F118" s="2" t="s">
        <v>89</v>
      </c>
      <c r="G118" s="3">
        <v>28500</v>
      </c>
      <c r="H118" s="3">
        <f t="shared" si="21"/>
        <v>0</v>
      </c>
      <c r="I118" s="3">
        <f t="shared" si="22"/>
        <v>9975</v>
      </c>
      <c r="J118" s="224"/>
      <c r="K118" s="112"/>
      <c r="L118" s="112"/>
      <c r="M118" s="112"/>
      <c r="N118" s="197"/>
    </row>
    <row r="119" spans="1:14" hidden="1" x14ac:dyDescent="0.2">
      <c r="A119" t="s">
        <v>154</v>
      </c>
      <c r="C119" s="79">
        <v>44998</v>
      </c>
      <c r="D119" s="2" t="s">
        <v>365</v>
      </c>
      <c r="E119" s="8"/>
      <c r="F119" s="2" t="s">
        <v>90</v>
      </c>
      <c r="G119" s="3">
        <v>4400</v>
      </c>
      <c r="H119" s="3">
        <f t="shared" si="21"/>
        <v>2860</v>
      </c>
      <c r="I119" s="3">
        <f t="shared" si="22"/>
        <v>0</v>
      </c>
      <c r="J119" s="224"/>
      <c r="K119" s="112"/>
      <c r="L119" s="112"/>
      <c r="M119" s="112"/>
      <c r="N119" s="197"/>
    </row>
    <row r="120" spans="1:14" hidden="1" x14ac:dyDescent="0.2">
      <c r="A120" t="s">
        <v>154</v>
      </c>
      <c r="C120" s="79">
        <v>45008</v>
      </c>
      <c r="D120" s="2" t="s">
        <v>366</v>
      </c>
      <c r="E120" s="8"/>
      <c r="F120" s="2" t="s">
        <v>90</v>
      </c>
      <c r="G120" s="3">
        <v>19600</v>
      </c>
      <c r="H120" s="3">
        <f t="shared" si="21"/>
        <v>12740</v>
      </c>
      <c r="I120" s="3">
        <f t="shared" si="22"/>
        <v>0</v>
      </c>
      <c r="J120" s="224"/>
      <c r="K120" s="112"/>
      <c r="L120" s="112"/>
      <c r="M120" s="112"/>
      <c r="N120" s="197"/>
    </row>
    <row r="121" spans="1:14" hidden="1" x14ac:dyDescent="0.2">
      <c r="A121" t="s">
        <v>154</v>
      </c>
      <c r="C121" s="79">
        <v>45009</v>
      </c>
      <c r="D121" s="2" t="s">
        <v>367</v>
      </c>
      <c r="E121" s="8"/>
      <c r="F121" s="2" t="s">
        <v>90</v>
      </c>
      <c r="G121" s="3">
        <v>4000</v>
      </c>
      <c r="H121" s="3">
        <f t="shared" si="21"/>
        <v>2600</v>
      </c>
      <c r="I121" s="3">
        <f t="shared" si="22"/>
        <v>0</v>
      </c>
      <c r="J121" s="224"/>
      <c r="K121" s="112"/>
      <c r="L121" s="112"/>
      <c r="M121" s="112"/>
      <c r="N121" s="197"/>
    </row>
    <row r="122" spans="1:14" hidden="1" x14ac:dyDescent="0.2">
      <c r="A122" t="s">
        <v>154</v>
      </c>
      <c r="C122" s="79">
        <v>45013</v>
      </c>
      <c r="D122" s="2" t="s">
        <v>368</v>
      </c>
      <c r="E122" s="8"/>
      <c r="F122" s="2" t="s">
        <v>89</v>
      </c>
      <c r="G122" s="3">
        <v>23000</v>
      </c>
      <c r="H122" s="3">
        <f t="shared" si="21"/>
        <v>0</v>
      </c>
      <c r="I122" s="3">
        <f t="shared" si="22"/>
        <v>8049.9999999999991</v>
      </c>
      <c r="J122" s="224"/>
      <c r="K122" s="112"/>
      <c r="L122" s="112"/>
      <c r="M122" s="112"/>
      <c r="N122" s="197"/>
    </row>
    <row r="123" spans="1:14" hidden="1" x14ac:dyDescent="0.2">
      <c r="A123" t="s">
        <v>154</v>
      </c>
      <c r="C123" s="79">
        <v>45019</v>
      </c>
      <c r="D123" s="2" t="s">
        <v>369</v>
      </c>
      <c r="E123" s="8"/>
      <c r="F123" s="2" t="s">
        <v>89</v>
      </c>
      <c r="G123" s="3">
        <v>28500</v>
      </c>
      <c r="H123" s="3">
        <f t="shared" si="21"/>
        <v>0</v>
      </c>
      <c r="I123" s="3">
        <f t="shared" si="22"/>
        <v>9975</v>
      </c>
      <c r="J123" s="224"/>
      <c r="K123" s="112"/>
      <c r="L123" s="112"/>
      <c r="M123" s="112"/>
      <c r="N123" s="197"/>
    </row>
    <row r="124" spans="1:14" hidden="1" x14ac:dyDescent="0.2">
      <c r="A124" t="s">
        <v>154</v>
      </c>
      <c r="C124" s="79">
        <v>45030</v>
      </c>
      <c r="D124" s="2" t="s">
        <v>370</v>
      </c>
      <c r="E124" s="8"/>
      <c r="F124" s="2" t="s">
        <v>90</v>
      </c>
      <c r="G124" s="3">
        <v>4400</v>
      </c>
      <c r="H124" s="3">
        <f t="shared" si="21"/>
        <v>2860</v>
      </c>
      <c r="I124" s="3">
        <f t="shared" si="22"/>
        <v>0</v>
      </c>
      <c r="J124" s="224"/>
      <c r="K124" s="112"/>
      <c r="L124" s="112"/>
      <c r="M124" s="112"/>
      <c r="N124" s="197"/>
    </row>
    <row r="125" spans="1:14" hidden="1" x14ac:dyDescent="0.2">
      <c r="A125" t="s">
        <v>154</v>
      </c>
      <c r="C125" s="79">
        <v>45035</v>
      </c>
      <c r="D125" s="2" t="s">
        <v>371</v>
      </c>
      <c r="E125" s="8"/>
      <c r="F125" s="2" t="s">
        <v>90</v>
      </c>
      <c r="G125" s="3">
        <v>19600</v>
      </c>
      <c r="H125" s="3">
        <f t="shared" si="21"/>
        <v>12740</v>
      </c>
      <c r="I125" s="3">
        <f t="shared" si="22"/>
        <v>0</v>
      </c>
      <c r="J125" s="224"/>
      <c r="K125" s="112"/>
      <c r="L125" s="112"/>
      <c r="M125" s="112"/>
      <c r="N125" s="197"/>
    </row>
    <row r="126" spans="1:14" hidden="1" x14ac:dyDescent="0.2">
      <c r="A126" t="s">
        <v>154</v>
      </c>
      <c r="C126" s="79">
        <v>45041</v>
      </c>
      <c r="D126" s="2" t="s">
        <v>372</v>
      </c>
      <c r="E126" s="8"/>
      <c r="F126" s="2" t="s">
        <v>90</v>
      </c>
      <c r="G126" s="3">
        <v>4000</v>
      </c>
      <c r="H126" s="3">
        <f t="shared" si="21"/>
        <v>2600</v>
      </c>
      <c r="I126" s="3">
        <f t="shared" si="22"/>
        <v>0</v>
      </c>
      <c r="J126" s="224"/>
      <c r="K126" s="112"/>
      <c r="L126" s="112"/>
      <c r="M126" s="112"/>
      <c r="N126" s="197"/>
    </row>
    <row r="127" spans="1:14" ht="17" hidden="1" thickBot="1" x14ac:dyDescent="0.25">
      <c r="A127" t="s">
        <v>154</v>
      </c>
      <c r="C127" s="79">
        <v>45042</v>
      </c>
      <c r="D127" s="2" t="s">
        <v>373</v>
      </c>
      <c r="E127" s="8"/>
      <c r="F127" s="2" t="s">
        <v>89</v>
      </c>
      <c r="G127" s="3">
        <v>23000</v>
      </c>
      <c r="H127" s="3">
        <f t="shared" si="21"/>
        <v>0</v>
      </c>
      <c r="I127" s="3">
        <f t="shared" si="22"/>
        <v>8049.9999999999991</v>
      </c>
      <c r="J127" s="224"/>
      <c r="K127" s="112"/>
      <c r="L127" s="112"/>
      <c r="M127" s="112"/>
      <c r="N127" s="197"/>
    </row>
    <row r="128" spans="1:14" hidden="1" x14ac:dyDescent="0.2">
      <c r="A128" t="s">
        <v>154</v>
      </c>
      <c r="C128" s="96">
        <v>45047</v>
      </c>
      <c r="D128" s="97" t="s">
        <v>374</v>
      </c>
      <c r="E128" s="236"/>
      <c r="F128" s="97" t="s">
        <v>89</v>
      </c>
      <c r="G128" s="98">
        <v>28500</v>
      </c>
      <c r="H128" s="98">
        <f t="shared" si="21"/>
        <v>0</v>
      </c>
      <c r="I128" s="98">
        <f t="shared" si="22"/>
        <v>9975</v>
      </c>
      <c r="J128" s="224"/>
      <c r="K128" s="112"/>
      <c r="L128" s="112"/>
      <c r="M128" s="112"/>
      <c r="N128" s="197"/>
    </row>
    <row r="129" spans="1:14" hidden="1" x14ac:dyDescent="0.2">
      <c r="A129" t="s">
        <v>154</v>
      </c>
      <c r="C129" s="99">
        <v>45061</v>
      </c>
      <c r="D129" s="12" t="s">
        <v>375</v>
      </c>
      <c r="E129" s="9"/>
      <c r="F129" s="12" t="s">
        <v>90</v>
      </c>
      <c r="G129" s="13">
        <v>4400</v>
      </c>
      <c r="H129" s="13">
        <f t="shared" si="21"/>
        <v>2860</v>
      </c>
      <c r="I129" s="13">
        <f t="shared" si="22"/>
        <v>0</v>
      </c>
      <c r="J129" s="224"/>
      <c r="K129" s="112"/>
      <c r="L129" s="112"/>
      <c r="M129" s="112"/>
      <c r="N129" s="197"/>
    </row>
    <row r="130" spans="1:14" hidden="1" x14ac:dyDescent="0.2">
      <c r="A130" t="s">
        <v>154</v>
      </c>
      <c r="C130" s="99">
        <v>45062</v>
      </c>
      <c r="D130" s="12" t="s">
        <v>376</v>
      </c>
      <c r="E130" s="9"/>
      <c r="F130" s="12" t="s">
        <v>90</v>
      </c>
      <c r="G130" s="13">
        <v>19600</v>
      </c>
      <c r="H130" s="13">
        <f t="shared" si="21"/>
        <v>12740</v>
      </c>
      <c r="I130" s="13">
        <f t="shared" si="22"/>
        <v>0</v>
      </c>
      <c r="J130" s="224"/>
      <c r="K130" s="112"/>
      <c r="L130" s="112"/>
      <c r="M130" s="112"/>
      <c r="N130" s="197"/>
    </row>
    <row r="131" spans="1:14" hidden="1" x14ac:dyDescent="0.2">
      <c r="A131" t="s">
        <v>154</v>
      </c>
      <c r="C131" s="99">
        <v>45069</v>
      </c>
      <c r="D131" s="12" t="s">
        <v>377</v>
      </c>
      <c r="E131" s="9"/>
      <c r="F131" s="12" t="s">
        <v>90</v>
      </c>
      <c r="G131" s="13">
        <v>4000</v>
      </c>
      <c r="H131" s="13">
        <f t="shared" si="21"/>
        <v>2600</v>
      </c>
      <c r="I131" s="13">
        <f t="shared" si="22"/>
        <v>0</v>
      </c>
      <c r="J131" s="224"/>
      <c r="K131" s="112"/>
      <c r="L131" s="112"/>
      <c r="M131" s="112"/>
      <c r="N131" s="197"/>
    </row>
    <row r="132" spans="1:14" ht="17" hidden="1" thickBot="1" x14ac:dyDescent="0.25">
      <c r="A132" t="s">
        <v>154</v>
      </c>
      <c r="C132" s="100">
        <v>45077</v>
      </c>
      <c r="D132" s="101" t="s">
        <v>378</v>
      </c>
      <c r="E132" s="216"/>
      <c r="F132" s="101" t="s">
        <v>89</v>
      </c>
      <c r="G132" s="102">
        <v>23000</v>
      </c>
      <c r="H132" s="102">
        <f t="shared" si="21"/>
        <v>0</v>
      </c>
      <c r="I132" s="102">
        <f t="shared" si="22"/>
        <v>8049.9999999999991</v>
      </c>
      <c r="J132" s="224"/>
      <c r="K132" s="112"/>
      <c r="L132" s="112"/>
      <c r="M132" s="112"/>
      <c r="N132" s="197"/>
    </row>
    <row r="133" spans="1:14" hidden="1" x14ac:dyDescent="0.2">
      <c r="A133" t="s">
        <v>154</v>
      </c>
      <c r="C133" s="96">
        <v>45079</v>
      </c>
      <c r="D133" s="97" t="s">
        <v>379</v>
      </c>
      <c r="E133" s="236"/>
      <c r="F133" s="97" t="s">
        <v>89</v>
      </c>
      <c r="G133" s="98">
        <v>28500</v>
      </c>
      <c r="H133" s="98">
        <f t="shared" si="21"/>
        <v>0</v>
      </c>
      <c r="I133" s="98">
        <f t="shared" si="22"/>
        <v>9975</v>
      </c>
      <c r="J133" s="224"/>
      <c r="K133" s="112"/>
      <c r="L133" s="112"/>
      <c r="M133" s="112"/>
      <c r="N133" s="197"/>
    </row>
    <row r="134" spans="1:14" hidden="1" x14ac:dyDescent="0.2">
      <c r="A134" t="s">
        <v>154</v>
      </c>
      <c r="C134" s="99">
        <v>45089</v>
      </c>
      <c r="D134" s="12" t="s">
        <v>380</v>
      </c>
      <c r="E134" s="9"/>
      <c r="F134" s="12" t="s">
        <v>90</v>
      </c>
      <c r="G134" s="13">
        <v>4400</v>
      </c>
      <c r="H134" s="13">
        <f t="shared" si="21"/>
        <v>2860</v>
      </c>
      <c r="I134" s="13">
        <f t="shared" si="22"/>
        <v>0</v>
      </c>
      <c r="J134" s="224"/>
      <c r="K134" s="112"/>
      <c r="L134" s="112"/>
      <c r="M134" s="112"/>
      <c r="N134" s="197"/>
    </row>
    <row r="135" spans="1:14" hidden="1" x14ac:dyDescent="0.2">
      <c r="A135" t="s">
        <v>154</v>
      </c>
      <c r="C135" s="99">
        <v>45093</v>
      </c>
      <c r="D135" s="12" t="s">
        <v>381</v>
      </c>
      <c r="E135" s="9"/>
      <c r="F135" s="12" t="s">
        <v>90</v>
      </c>
      <c r="G135" s="13">
        <v>19600</v>
      </c>
      <c r="H135" s="13">
        <f t="shared" si="21"/>
        <v>12740</v>
      </c>
      <c r="I135" s="13">
        <f t="shared" si="22"/>
        <v>0</v>
      </c>
      <c r="J135" s="224"/>
      <c r="K135" s="112"/>
      <c r="L135" s="112"/>
      <c r="M135" s="112"/>
      <c r="N135" s="197"/>
    </row>
    <row r="136" spans="1:14" hidden="1" x14ac:dyDescent="0.2">
      <c r="A136" t="s">
        <v>154</v>
      </c>
      <c r="C136" s="99">
        <v>45103</v>
      </c>
      <c r="D136" s="12" t="s">
        <v>382</v>
      </c>
      <c r="E136" s="9"/>
      <c r="F136" s="12" t="s">
        <v>90</v>
      </c>
      <c r="G136" s="13">
        <v>4000</v>
      </c>
      <c r="H136" s="13">
        <f t="shared" si="21"/>
        <v>2600</v>
      </c>
      <c r="I136" s="13">
        <f t="shared" si="22"/>
        <v>0</v>
      </c>
      <c r="J136" s="224"/>
      <c r="K136" s="112"/>
      <c r="L136" s="112"/>
      <c r="M136" s="112"/>
      <c r="N136" s="197"/>
    </row>
    <row r="137" spans="1:14" ht="17" hidden="1" thickBot="1" x14ac:dyDescent="0.25">
      <c r="A137" t="s">
        <v>154</v>
      </c>
      <c r="C137" s="100">
        <v>45111</v>
      </c>
      <c r="D137" s="101" t="s">
        <v>383</v>
      </c>
      <c r="E137" s="216"/>
      <c r="F137" s="101" t="s">
        <v>89</v>
      </c>
      <c r="G137" s="102">
        <v>23000</v>
      </c>
      <c r="H137" s="102">
        <f t="shared" si="21"/>
        <v>0</v>
      </c>
      <c r="I137" s="102">
        <f t="shared" si="22"/>
        <v>8049.9999999999991</v>
      </c>
      <c r="J137" s="224"/>
      <c r="K137" s="112"/>
      <c r="L137" s="112"/>
      <c r="M137" s="112"/>
      <c r="N137" s="197"/>
    </row>
    <row r="138" spans="1:14" hidden="1" x14ac:dyDescent="0.2">
      <c r="A138" t="s">
        <v>154</v>
      </c>
      <c r="C138" s="96">
        <v>45111</v>
      </c>
      <c r="D138" s="97" t="s">
        <v>384</v>
      </c>
      <c r="E138" s="236"/>
      <c r="F138" s="97" t="s">
        <v>89</v>
      </c>
      <c r="G138" s="98">
        <v>28500</v>
      </c>
      <c r="H138" s="98">
        <f t="shared" si="21"/>
        <v>0</v>
      </c>
      <c r="I138" s="98">
        <f t="shared" si="22"/>
        <v>9975</v>
      </c>
      <c r="J138" s="224"/>
      <c r="K138" s="112"/>
      <c r="L138" s="112"/>
      <c r="M138" s="112"/>
      <c r="N138" s="197"/>
    </row>
    <row r="139" spans="1:14" hidden="1" x14ac:dyDescent="0.2">
      <c r="A139" t="s">
        <v>154</v>
      </c>
      <c r="C139" s="99">
        <v>45124</v>
      </c>
      <c r="D139" s="12" t="s">
        <v>385</v>
      </c>
      <c r="E139" s="9"/>
      <c r="F139" s="12" t="s">
        <v>90</v>
      </c>
      <c r="G139" s="13">
        <v>4400</v>
      </c>
      <c r="H139" s="13">
        <f t="shared" si="21"/>
        <v>2860</v>
      </c>
      <c r="I139" s="13">
        <f t="shared" si="22"/>
        <v>0</v>
      </c>
      <c r="J139" s="224"/>
      <c r="K139" s="112"/>
      <c r="L139" s="112"/>
      <c r="M139" s="112"/>
      <c r="N139" s="197"/>
    </row>
    <row r="140" spans="1:14" hidden="1" x14ac:dyDescent="0.2">
      <c r="A140" t="s">
        <v>154</v>
      </c>
      <c r="C140" s="99">
        <v>45127</v>
      </c>
      <c r="D140" s="12" t="s">
        <v>386</v>
      </c>
      <c r="E140" s="9"/>
      <c r="F140" s="12" t="s">
        <v>90</v>
      </c>
      <c r="G140" s="13">
        <v>19600</v>
      </c>
      <c r="H140" s="13">
        <f t="shared" si="21"/>
        <v>12740</v>
      </c>
      <c r="I140" s="13">
        <f t="shared" si="22"/>
        <v>0</v>
      </c>
      <c r="J140" s="224"/>
      <c r="K140" s="112"/>
      <c r="L140" s="112"/>
      <c r="M140" s="112"/>
      <c r="N140" s="197"/>
    </row>
    <row r="141" spans="1:14" hidden="1" x14ac:dyDescent="0.2">
      <c r="A141" t="s">
        <v>154</v>
      </c>
      <c r="C141" s="265">
        <v>45132</v>
      </c>
      <c r="D141" s="266" t="s">
        <v>113</v>
      </c>
      <c r="E141" s="267"/>
      <c r="F141" s="266" t="s">
        <v>114</v>
      </c>
      <c r="G141" s="268"/>
      <c r="H141" s="268"/>
      <c r="I141" s="268">
        <v>6500</v>
      </c>
      <c r="J141" s="224"/>
      <c r="K141" s="112"/>
      <c r="L141" s="112"/>
      <c r="M141" s="112"/>
      <c r="N141" s="197"/>
    </row>
    <row r="142" spans="1:14" hidden="1" x14ac:dyDescent="0.2">
      <c r="A142" t="s">
        <v>154</v>
      </c>
      <c r="C142" s="99">
        <v>45135</v>
      </c>
      <c r="D142" s="12" t="s">
        <v>115</v>
      </c>
      <c r="E142" s="9"/>
      <c r="F142" s="12" t="s">
        <v>90</v>
      </c>
      <c r="G142" s="13">
        <v>4000</v>
      </c>
      <c r="H142" s="13">
        <f t="shared" ref="H142" si="23">IF(F142="Can",G142*0.65,0)</f>
        <v>2600</v>
      </c>
      <c r="I142" s="13">
        <f t="shared" ref="I142" si="24">IF(F142="Selim",G142*0.35,0)</f>
        <v>0</v>
      </c>
      <c r="J142" s="224"/>
      <c r="K142" s="112"/>
      <c r="L142" s="112"/>
      <c r="M142" s="112"/>
      <c r="N142" s="197"/>
    </row>
    <row r="143" spans="1:14" ht="17" hidden="1" thickBot="1" x14ac:dyDescent="0.25">
      <c r="A143" t="s">
        <v>154</v>
      </c>
      <c r="C143" s="100">
        <v>45153</v>
      </c>
      <c r="D143" s="101" t="s">
        <v>116</v>
      </c>
      <c r="E143" s="216"/>
      <c r="F143" s="101" t="s">
        <v>89</v>
      </c>
      <c r="G143" s="102">
        <v>23000</v>
      </c>
      <c r="H143" s="102">
        <f t="shared" ref="H143:H145" si="25">IF(F143="Can",G143*0.65,0)</f>
        <v>0</v>
      </c>
      <c r="I143" s="102">
        <f t="shared" ref="I143:I145" si="26">IF(F143="Selim",G143*0.35,0)</f>
        <v>8049.9999999999991</v>
      </c>
      <c r="J143" s="224"/>
      <c r="K143" s="112"/>
      <c r="L143" s="112"/>
      <c r="M143" s="112"/>
      <c r="N143" s="197"/>
    </row>
    <row r="144" spans="1:14" hidden="1" x14ac:dyDescent="0.2">
      <c r="A144" t="s">
        <v>154</v>
      </c>
      <c r="C144" s="96">
        <v>45139</v>
      </c>
      <c r="D144" s="97" t="s">
        <v>119</v>
      </c>
      <c r="E144" s="236"/>
      <c r="F144" s="97" t="s">
        <v>89</v>
      </c>
      <c r="G144" s="98">
        <v>28500</v>
      </c>
      <c r="H144" s="98">
        <f t="shared" si="25"/>
        <v>0</v>
      </c>
      <c r="I144" s="98">
        <f t="shared" si="26"/>
        <v>9975</v>
      </c>
      <c r="J144" s="224"/>
      <c r="K144" s="112"/>
      <c r="L144" s="112"/>
      <c r="M144" s="112"/>
      <c r="N144" s="197"/>
    </row>
    <row r="145" spans="1:14" hidden="1" x14ac:dyDescent="0.2">
      <c r="A145" t="s">
        <v>154</v>
      </c>
      <c r="C145" s="99">
        <v>45161</v>
      </c>
      <c r="D145" s="12" t="s">
        <v>120</v>
      </c>
      <c r="E145" s="9"/>
      <c r="F145" s="12" t="s">
        <v>90</v>
      </c>
      <c r="G145" s="13">
        <v>4000</v>
      </c>
      <c r="H145" s="13">
        <f t="shared" si="25"/>
        <v>2600</v>
      </c>
      <c r="I145" s="13">
        <f t="shared" si="26"/>
        <v>0</v>
      </c>
      <c r="J145" s="224"/>
      <c r="K145" s="112"/>
      <c r="L145" s="112"/>
      <c r="M145" s="112"/>
      <c r="N145" s="197"/>
    </row>
    <row r="146" spans="1:14" hidden="1" x14ac:dyDescent="0.2">
      <c r="A146" t="s">
        <v>154</v>
      </c>
      <c r="C146" s="99">
        <v>45153</v>
      </c>
      <c r="D146" s="12" t="s">
        <v>117</v>
      </c>
      <c r="E146" s="9"/>
      <c r="F146" s="12" t="s">
        <v>89</v>
      </c>
      <c r="G146" s="13">
        <v>23000</v>
      </c>
      <c r="H146" s="13">
        <f t="shared" ref="H146" si="27">IF(F146="Can",G146*0.65,0)</f>
        <v>0</v>
      </c>
      <c r="I146" s="13">
        <f t="shared" ref="I146" si="28">IF(F146="Selim",G146*0.35,0)</f>
        <v>8049.9999999999991</v>
      </c>
      <c r="J146" s="224"/>
      <c r="K146" s="112"/>
      <c r="L146" s="112"/>
      <c r="M146" s="112"/>
      <c r="N146" s="197"/>
    </row>
    <row r="147" spans="1:14" hidden="1" x14ac:dyDescent="0.2">
      <c r="A147" t="s">
        <v>154</v>
      </c>
      <c r="C147" s="99">
        <v>45152</v>
      </c>
      <c r="D147" s="12" t="s">
        <v>118</v>
      </c>
      <c r="E147" s="9"/>
      <c r="F147" s="12" t="s">
        <v>90</v>
      </c>
      <c r="G147" s="13">
        <v>4400</v>
      </c>
      <c r="H147" s="13">
        <f>IF(F147="Can",G147*0.65,0)</f>
        <v>2860</v>
      </c>
      <c r="I147" s="13">
        <f>IF(F147="Selim",G147*0.35,0)</f>
        <v>0</v>
      </c>
      <c r="J147" s="224"/>
      <c r="K147" s="112"/>
      <c r="L147" s="112"/>
      <c r="M147" s="112"/>
      <c r="N147" s="197"/>
    </row>
    <row r="148" spans="1:14" ht="17" hidden="1" thickBot="1" x14ac:dyDescent="0.25">
      <c r="A148" t="s">
        <v>154</v>
      </c>
      <c r="C148" s="100">
        <v>45154</v>
      </c>
      <c r="D148" s="101" t="s">
        <v>121</v>
      </c>
      <c r="E148" s="216"/>
      <c r="F148" s="101" t="s">
        <v>90</v>
      </c>
      <c r="G148" s="102">
        <v>19600</v>
      </c>
      <c r="H148" s="102">
        <f t="shared" ref="H148:H151" si="29">IF(F148="Can",G148*0.65,0)</f>
        <v>12740</v>
      </c>
      <c r="I148" s="102">
        <f t="shared" ref="I148:I151" si="30">IF(F148="Selim",G148*0.35,0)</f>
        <v>0</v>
      </c>
      <c r="J148" s="224"/>
      <c r="K148" s="112"/>
      <c r="L148" s="112"/>
      <c r="M148" s="112"/>
      <c r="N148" s="197"/>
    </row>
    <row r="149" spans="1:14" hidden="1" x14ac:dyDescent="0.2">
      <c r="A149" t="s">
        <v>154</v>
      </c>
      <c r="C149" s="96">
        <v>45170</v>
      </c>
      <c r="D149" s="97" t="s">
        <v>141</v>
      </c>
      <c r="E149" s="236"/>
      <c r="F149" s="97" t="s">
        <v>89</v>
      </c>
      <c r="G149" s="98">
        <v>28500</v>
      </c>
      <c r="H149" s="98">
        <f t="shared" si="29"/>
        <v>0</v>
      </c>
      <c r="I149" s="98">
        <f t="shared" si="30"/>
        <v>9975</v>
      </c>
      <c r="J149" s="224"/>
      <c r="K149" s="112"/>
      <c r="L149" s="112"/>
      <c r="M149" s="112"/>
      <c r="N149" s="197"/>
    </row>
    <row r="150" spans="1:14" hidden="1" x14ac:dyDescent="0.2">
      <c r="A150" t="s">
        <v>154</v>
      </c>
      <c r="C150" s="99">
        <v>45202</v>
      </c>
      <c r="D150" s="12" t="s">
        <v>142</v>
      </c>
      <c r="E150" s="9"/>
      <c r="F150" s="12" t="s">
        <v>90</v>
      </c>
      <c r="G150" s="13">
        <v>4000</v>
      </c>
      <c r="H150" s="13">
        <f t="shared" si="29"/>
        <v>2600</v>
      </c>
      <c r="I150" s="13">
        <f t="shared" si="30"/>
        <v>0</v>
      </c>
      <c r="J150" s="224"/>
      <c r="K150" s="112"/>
      <c r="L150" s="112"/>
      <c r="M150" s="112"/>
      <c r="N150" s="197"/>
    </row>
    <row r="151" spans="1:14" hidden="1" x14ac:dyDescent="0.2">
      <c r="A151" t="s">
        <v>154</v>
      </c>
      <c r="C151" s="99">
        <v>45202</v>
      </c>
      <c r="D151" s="12" t="s">
        <v>143</v>
      </c>
      <c r="E151" s="9"/>
      <c r="F151" s="12" t="s">
        <v>89</v>
      </c>
      <c r="G151" s="13">
        <v>23000</v>
      </c>
      <c r="H151" s="13">
        <f t="shared" si="29"/>
        <v>0</v>
      </c>
      <c r="I151" s="13">
        <f t="shared" si="30"/>
        <v>8049.9999999999991</v>
      </c>
      <c r="J151" s="224"/>
      <c r="K151" s="112"/>
      <c r="L151" s="112"/>
      <c r="M151" s="112"/>
      <c r="N151" s="197"/>
    </row>
    <row r="152" spans="1:14" hidden="1" x14ac:dyDescent="0.2">
      <c r="A152" t="s">
        <v>154</v>
      </c>
      <c r="C152" s="99">
        <v>45182</v>
      </c>
      <c r="D152" s="12" t="s">
        <v>144</v>
      </c>
      <c r="E152" s="9"/>
      <c r="F152" s="12" t="s">
        <v>90</v>
      </c>
      <c r="G152" s="13">
        <v>4400</v>
      </c>
      <c r="H152" s="13">
        <f>IF(F152="Can",G152*0.65,0)</f>
        <v>2860</v>
      </c>
      <c r="I152" s="13">
        <f>IF(F152="Selim",G152*0.35,0)</f>
        <v>0</v>
      </c>
      <c r="J152" s="224"/>
      <c r="K152" s="112"/>
      <c r="L152" s="112"/>
      <c r="M152" s="112"/>
      <c r="N152" s="197"/>
    </row>
    <row r="153" spans="1:14" ht="17" hidden="1" thickBot="1" x14ac:dyDescent="0.25">
      <c r="A153" t="s">
        <v>154</v>
      </c>
      <c r="C153" s="100">
        <v>45184</v>
      </c>
      <c r="D153" s="101" t="s">
        <v>145</v>
      </c>
      <c r="E153" s="216"/>
      <c r="F153" s="101" t="s">
        <v>90</v>
      </c>
      <c r="G153" s="102">
        <v>19600</v>
      </c>
      <c r="H153" s="102">
        <f t="shared" ref="H153:H157" si="31">IF(F153="Can",G153*0.65,0)</f>
        <v>12740</v>
      </c>
      <c r="I153" s="102">
        <f t="shared" ref="I153:I157" si="32">IF(F153="Selim",G153*0.35,0)</f>
        <v>0</v>
      </c>
      <c r="J153" s="224"/>
      <c r="K153" s="112"/>
      <c r="L153" s="112"/>
      <c r="M153" s="112"/>
      <c r="N153" s="197"/>
    </row>
    <row r="154" spans="1:14" hidden="1" x14ac:dyDescent="0.2">
      <c r="A154" t="s">
        <v>150</v>
      </c>
      <c r="C154" s="175">
        <v>45216</v>
      </c>
      <c r="D154" s="176" t="s">
        <v>151</v>
      </c>
      <c r="E154" s="237"/>
      <c r="F154" s="176" t="s">
        <v>90</v>
      </c>
      <c r="G154" s="177">
        <v>0</v>
      </c>
      <c r="H154" s="177">
        <f t="shared" si="31"/>
        <v>0</v>
      </c>
      <c r="I154" s="177">
        <f t="shared" si="32"/>
        <v>0</v>
      </c>
      <c r="J154" s="225">
        <v>0</v>
      </c>
      <c r="K154" s="178">
        <f>1100/28</f>
        <v>39.285714285714285</v>
      </c>
      <c r="L154" s="179">
        <f>IF(F154="Selim",J154*0.35,0)</f>
        <v>0</v>
      </c>
      <c r="M154" s="183"/>
      <c r="N154" s="198"/>
    </row>
    <row r="155" spans="1:14" hidden="1" x14ac:dyDescent="0.2">
      <c r="C155" s="180">
        <v>45299</v>
      </c>
      <c r="D155" s="181" t="s">
        <v>179</v>
      </c>
      <c r="E155" s="238"/>
      <c r="F155" s="181"/>
      <c r="G155" s="182"/>
      <c r="H155" s="182"/>
      <c r="I155" s="182"/>
      <c r="J155" s="226"/>
      <c r="K155" s="183">
        <f>-K154</f>
        <v>-39.285714285714285</v>
      </c>
      <c r="L155" s="184"/>
      <c r="M155" s="183"/>
      <c r="N155" s="198"/>
    </row>
    <row r="156" spans="1:14" hidden="1" x14ac:dyDescent="0.2">
      <c r="A156" t="s">
        <v>150</v>
      </c>
      <c r="C156" s="99">
        <v>45223</v>
      </c>
      <c r="D156" s="12" t="s">
        <v>148</v>
      </c>
      <c r="E156" s="9"/>
      <c r="F156" s="12" t="s">
        <v>89</v>
      </c>
      <c r="G156" s="13">
        <v>0</v>
      </c>
      <c r="H156" s="13">
        <f t="shared" si="31"/>
        <v>0</v>
      </c>
      <c r="I156" s="13">
        <f t="shared" si="32"/>
        <v>0</v>
      </c>
      <c r="J156" s="227">
        <v>2207.14</v>
      </c>
      <c r="K156" s="121">
        <f>IF(F156="Can",J156*0.65,0)</f>
        <v>0</v>
      </c>
      <c r="L156" s="129">
        <f>IF(F156="Selim",J156*0.35,0)</f>
        <v>772.49899999999991</v>
      </c>
      <c r="M156" s="121"/>
      <c r="N156" s="198"/>
    </row>
    <row r="157" spans="1:14" hidden="1" x14ac:dyDescent="0.2">
      <c r="A157" t="s">
        <v>150</v>
      </c>
      <c r="C157" s="99">
        <v>45218</v>
      </c>
      <c r="D157" s="12" t="s">
        <v>155</v>
      </c>
      <c r="E157" s="9"/>
      <c r="F157" s="12" t="s">
        <v>89</v>
      </c>
      <c r="G157" s="13">
        <v>0</v>
      </c>
      <c r="H157" s="13">
        <f t="shared" si="31"/>
        <v>0</v>
      </c>
      <c r="I157" s="13">
        <f t="shared" si="32"/>
        <v>0</v>
      </c>
      <c r="J157" s="227">
        <v>163.47</v>
      </c>
      <c r="K157" s="121">
        <f t="shared" ref="K157" si="33">IF(F157="Can",J157*0.65,0)</f>
        <v>0</v>
      </c>
      <c r="L157" s="129">
        <f t="shared" ref="L157" si="34">IF(F157="Selim",J157*0.35,0)</f>
        <v>57.214499999999994</v>
      </c>
      <c r="M157" s="121"/>
      <c r="N157" s="198"/>
    </row>
    <row r="158" spans="1:14" hidden="1" x14ac:dyDescent="0.2">
      <c r="A158" t="s">
        <v>150</v>
      </c>
      <c r="C158" s="99">
        <v>45218</v>
      </c>
      <c r="D158" s="12" t="s">
        <v>153</v>
      </c>
      <c r="E158" s="9"/>
      <c r="F158" s="12" t="s">
        <v>89</v>
      </c>
      <c r="G158" s="13">
        <v>0</v>
      </c>
      <c r="H158" s="13">
        <f>IF(F158="Can",G158*0.65,0)</f>
        <v>0</v>
      </c>
      <c r="I158" s="13">
        <f>IF(F158="Selim",G158*0.35,0)</f>
        <v>0</v>
      </c>
      <c r="J158" s="227">
        <v>1236.53</v>
      </c>
      <c r="K158" s="121">
        <f t="shared" ref="K158:K161" si="35">IF(F158="Can",J158*0.65,0)</f>
        <v>0</v>
      </c>
      <c r="L158" s="129">
        <f t="shared" ref="L158:L161" si="36">IF(F158="Selim",J158*0.35,0)</f>
        <v>432.78549999999996</v>
      </c>
      <c r="M158" s="121"/>
      <c r="N158" s="198"/>
    </row>
    <row r="159" spans="1:14" hidden="1" x14ac:dyDescent="0.2">
      <c r="A159" t="s">
        <v>150</v>
      </c>
      <c r="C159" s="157">
        <v>45222</v>
      </c>
      <c r="D159" s="158" t="s">
        <v>164</v>
      </c>
      <c r="E159" s="239"/>
      <c r="F159" s="158" t="s">
        <v>90</v>
      </c>
      <c r="G159" s="159"/>
      <c r="H159" s="159"/>
      <c r="I159" s="159"/>
      <c r="J159" s="228">
        <v>0</v>
      </c>
      <c r="K159" s="160">
        <v>5000</v>
      </c>
      <c r="L159" s="161">
        <f t="shared" ref="L159" si="37">IF(F159="Selim",J159*0.35,0)</f>
        <v>0</v>
      </c>
      <c r="M159" s="160"/>
      <c r="N159" s="199"/>
    </row>
    <row r="160" spans="1:14" ht="17" hidden="1" customHeight="1" thickBot="1" x14ac:dyDescent="0.25">
      <c r="A160" t="s">
        <v>150</v>
      </c>
      <c r="C160" s="100" t="s">
        <v>88</v>
      </c>
      <c r="D160" s="101" t="s">
        <v>187</v>
      </c>
      <c r="E160" s="216"/>
      <c r="F160" s="101" t="s">
        <v>88</v>
      </c>
      <c r="G160" s="102" t="s">
        <v>88</v>
      </c>
      <c r="H160" s="102" t="s">
        <v>88</v>
      </c>
      <c r="I160" s="102" t="s">
        <v>88</v>
      </c>
      <c r="J160" s="229" t="s">
        <v>88</v>
      </c>
      <c r="K160" s="185" t="s">
        <v>88</v>
      </c>
      <c r="L160" s="186" t="s">
        <v>88</v>
      </c>
      <c r="M160" s="121"/>
      <c r="N160" s="200"/>
    </row>
    <row r="161" spans="1:16" x14ac:dyDescent="0.2">
      <c r="A161" t="s">
        <v>150</v>
      </c>
      <c r="B161" s="572">
        <v>45231</v>
      </c>
      <c r="C161" s="96">
        <v>45233</v>
      </c>
      <c r="D161" s="97" t="s">
        <v>152</v>
      </c>
      <c r="E161" s="236"/>
      <c r="F161" s="97" t="s">
        <v>89</v>
      </c>
      <c r="G161" s="98">
        <v>0</v>
      </c>
      <c r="H161" s="98">
        <f t="shared" ref="H161" si="38">IF(F161="Can",G161*0.65,0)</f>
        <v>0</v>
      </c>
      <c r="I161" s="98">
        <f t="shared" ref="I161" si="39">IF(F161="Selim",G161*0.35,0)</f>
        <v>0</v>
      </c>
      <c r="J161" s="230">
        <v>2218.79</v>
      </c>
      <c r="K161" s="134">
        <f t="shared" si="35"/>
        <v>0</v>
      </c>
      <c r="L161" s="135">
        <f t="shared" si="36"/>
        <v>776.5764999999999</v>
      </c>
      <c r="M161" s="121"/>
      <c r="N161" s="198"/>
    </row>
    <row r="162" spans="1:16" x14ac:dyDescent="0.2">
      <c r="A162" t="s">
        <v>150</v>
      </c>
      <c r="B162" s="575"/>
      <c r="C162" s="99">
        <v>45244</v>
      </c>
      <c r="D162" s="12" t="s">
        <v>158</v>
      </c>
      <c r="E162" s="9"/>
      <c r="F162" s="12" t="s">
        <v>90</v>
      </c>
      <c r="G162" s="13">
        <v>0</v>
      </c>
      <c r="H162" s="13">
        <f t="shared" ref="H162" si="40">IF(F162="Can",G162*0.65,0)</f>
        <v>0</v>
      </c>
      <c r="I162" s="13">
        <f t="shared" ref="I162" si="41">IF(F162="Selim",G162*0.35,0)</f>
        <v>0</v>
      </c>
      <c r="J162" s="227">
        <v>160</v>
      </c>
      <c r="K162" s="121">
        <f t="shared" ref="K162:K166" si="42">IF(F162="Can",J162*0.65,0)</f>
        <v>104</v>
      </c>
      <c r="L162" s="129">
        <f t="shared" ref="L162:L166" si="43">IF(F162="Selim",J162*0.35,0)</f>
        <v>0</v>
      </c>
      <c r="M162" s="121"/>
      <c r="N162" s="198"/>
    </row>
    <row r="163" spans="1:16" x14ac:dyDescent="0.2">
      <c r="A163" t="s">
        <v>150</v>
      </c>
      <c r="B163" s="575"/>
      <c r="C163" s="162">
        <v>45238</v>
      </c>
      <c r="D163" s="163" t="s">
        <v>157</v>
      </c>
      <c r="E163" s="240"/>
      <c r="F163" s="163" t="s">
        <v>90</v>
      </c>
      <c r="G163" s="164"/>
      <c r="H163" s="164">
        <v>4250</v>
      </c>
      <c r="I163" s="164"/>
      <c r="J163" s="231"/>
      <c r="K163" s="165"/>
      <c r="L163" s="166"/>
      <c r="M163" s="165"/>
      <c r="N163" s="201"/>
    </row>
    <row r="164" spans="1:16" x14ac:dyDescent="0.2">
      <c r="A164" t="s">
        <v>150</v>
      </c>
      <c r="B164" s="575"/>
      <c r="C164" s="99">
        <v>45250</v>
      </c>
      <c r="D164" s="12" t="s">
        <v>156</v>
      </c>
      <c r="E164" s="9"/>
      <c r="F164" s="12" t="s">
        <v>89</v>
      </c>
      <c r="G164" s="13">
        <v>0</v>
      </c>
      <c r="H164" s="13">
        <f>IF(F164="Can",G164*0.65,0)</f>
        <v>0</v>
      </c>
      <c r="I164" s="13">
        <f>IF(F164="Selim",G164*0.35,0)</f>
        <v>0</v>
      </c>
      <c r="J164" s="227">
        <v>1240</v>
      </c>
      <c r="K164" s="121">
        <f t="shared" si="42"/>
        <v>0</v>
      </c>
      <c r="L164" s="129">
        <f t="shared" si="43"/>
        <v>434</v>
      </c>
      <c r="M164" s="121"/>
      <c r="N164" s="198"/>
    </row>
    <row r="165" spans="1:16" ht="17" thickBot="1" x14ac:dyDescent="0.25">
      <c r="A165" t="s">
        <v>150</v>
      </c>
      <c r="B165" s="576"/>
      <c r="C165" s="100" t="s">
        <v>88</v>
      </c>
      <c r="D165" s="101" t="s">
        <v>188</v>
      </c>
      <c r="E165" s="216"/>
      <c r="F165" s="101" t="s">
        <v>88</v>
      </c>
      <c r="G165" s="102" t="s">
        <v>88</v>
      </c>
      <c r="H165" s="102" t="s">
        <v>88</v>
      </c>
      <c r="I165" s="102" t="s">
        <v>88</v>
      </c>
      <c r="J165" s="229" t="s">
        <v>88</v>
      </c>
      <c r="K165" s="185" t="s">
        <v>88</v>
      </c>
      <c r="L165" s="186" t="s">
        <v>88</v>
      </c>
      <c r="M165" s="121"/>
      <c r="N165" s="200"/>
    </row>
    <row r="166" spans="1:16" x14ac:dyDescent="0.2">
      <c r="B166" s="572">
        <v>45261</v>
      </c>
      <c r="C166" s="99">
        <v>45265</v>
      </c>
      <c r="D166" s="12" t="s">
        <v>160</v>
      </c>
      <c r="E166" s="9"/>
      <c r="F166" s="12" t="s">
        <v>89</v>
      </c>
      <c r="G166" s="13">
        <v>0</v>
      </c>
      <c r="H166" s="13">
        <f t="shared" ref="H166:H167" si="44">IF(F166="Can",G166*0.65,0)</f>
        <v>0</v>
      </c>
      <c r="I166" s="13">
        <f t="shared" ref="I166:I167" si="45">IF(F166="Selim",G166*0.35,0)</f>
        <v>0</v>
      </c>
      <c r="J166" s="227">
        <f>64700/Table2[[#This Row],[Kur]]</f>
        <v>2236.4327687521604</v>
      </c>
      <c r="K166" s="121">
        <f t="shared" si="42"/>
        <v>0</v>
      </c>
      <c r="L166" s="129">
        <f t="shared" si="43"/>
        <v>782.75146906325608</v>
      </c>
      <c r="M166" s="121"/>
      <c r="N166" s="198">
        <v>28.93</v>
      </c>
    </row>
    <row r="167" spans="1:16" x14ac:dyDescent="0.2">
      <c r="B167" s="575"/>
      <c r="C167" s="99">
        <v>45277</v>
      </c>
      <c r="D167" s="12" t="s">
        <v>183</v>
      </c>
      <c r="E167" s="9"/>
      <c r="F167" s="12" t="s">
        <v>90</v>
      </c>
      <c r="G167" s="13">
        <v>0</v>
      </c>
      <c r="H167" s="13">
        <f t="shared" si="44"/>
        <v>0</v>
      </c>
      <c r="I167" s="13">
        <f t="shared" si="45"/>
        <v>0</v>
      </c>
      <c r="J167" s="227">
        <v>158</v>
      </c>
      <c r="K167" s="121">
        <f t="shared" ref="K167:K169" si="46">IF(F167="Can",J167*0.65,0)</f>
        <v>102.7</v>
      </c>
      <c r="L167" s="129">
        <f t="shared" ref="L167:L169" si="47">IF(F167="Selim",J167*0.35,0)</f>
        <v>0</v>
      </c>
      <c r="M167" s="121"/>
      <c r="N167" s="198"/>
    </row>
    <row r="168" spans="1:16" ht="16" customHeight="1" x14ac:dyDescent="0.2">
      <c r="A168" t="s">
        <v>150</v>
      </c>
      <c r="B168" s="575"/>
      <c r="C168" s="99">
        <v>45278</v>
      </c>
      <c r="D168" s="12" t="s">
        <v>184</v>
      </c>
      <c r="E168" s="9"/>
      <c r="F168" s="12" t="s">
        <v>89</v>
      </c>
      <c r="G168" s="13">
        <v>0</v>
      </c>
      <c r="H168" s="13">
        <f>IF(F168="Can",G168*0.65,0)</f>
        <v>0</v>
      </c>
      <c r="I168" s="13">
        <f>IF(F168="Selim",G168*0.35,0)</f>
        <v>0</v>
      </c>
      <c r="J168" s="227">
        <v>1242</v>
      </c>
      <c r="K168" s="121">
        <f t="shared" si="46"/>
        <v>0</v>
      </c>
      <c r="L168" s="129">
        <f t="shared" si="47"/>
        <v>434.7</v>
      </c>
      <c r="M168" s="121"/>
      <c r="N168" s="198"/>
    </row>
    <row r="169" spans="1:16" ht="17" thickBot="1" x14ac:dyDescent="0.25">
      <c r="A169" t="s">
        <v>150</v>
      </c>
      <c r="B169" s="575"/>
      <c r="C169" s="99"/>
      <c r="D169" s="12" t="s">
        <v>204</v>
      </c>
      <c r="E169" s="9"/>
      <c r="F169" s="12"/>
      <c r="G169" s="13"/>
      <c r="H169" s="13"/>
      <c r="I169" s="13"/>
      <c r="J169" s="227"/>
      <c r="K169" s="121">
        <f t="shared" si="46"/>
        <v>0</v>
      </c>
      <c r="L169" s="129">
        <f t="shared" si="47"/>
        <v>0</v>
      </c>
      <c r="M169" s="121"/>
      <c r="N169" s="200"/>
    </row>
    <row r="170" spans="1:16" x14ac:dyDescent="0.2">
      <c r="B170" s="575"/>
      <c r="C170" s="142">
        <v>45288</v>
      </c>
      <c r="D170" s="143" t="s">
        <v>113</v>
      </c>
      <c r="E170" s="241"/>
      <c r="F170" s="143" t="s">
        <v>114</v>
      </c>
      <c r="G170" s="144"/>
      <c r="H170" s="144"/>
      <c r="I170" s="144"/>
      <c r="J170" s="232"/>
      <c r="K170" s="136"/>
      <c r="L170" s="137">
        <v>4470</v>
      </c>
      <c r="M170" s="354"/>
      <c r="N170" s="202"/>
    </row>
    <row r="171" spans="1:16" ht="17" thickBot="1" x14ac:dyDescent="0.25">
      <c r="B171" s="576"/>
      <c r="C171" s="145">
        <v>45289</v>
      </c>
      <c r="D171" s="146" t="s">
        <v>113</v>
      </c>
      <c r="E171" s="242"/>
      <c r="F171" s="146" t="s">
        <v>114</v>
      </c>
      <c r="G171" s="147"/>
      <c r="H171" s="147"/>
      <c r="I171" s="147">
        <v>-850</v>
      </c>
      <c r="J171" s="233"/>
      <c r="K171" s="138"/>
      <c r="L171" s="139">
        <v>-850</v>
      </c>
      <c r="M171" s="354"/>
      <c r="N171" s="202"/>
    </row>
    <row r="172" spans="1:16" x14ac:dyDescent="0.2">
      <c r="B172" s="572">
        <v>45292</v>
      </c>
      <c r="C172" s="99">
        <v>45296</v>
      </c>
      <c r="D172" s="12" t="s">
        <v>161</v>
      </c>
      <c r="E172" s="9"/>
      <c r="F172" s="12" t="s">
        <v>89</v>
      </c>
      <c r="G172" s="13">
        <v>0</v>
      </c>
      <c r="H172" s="13">
        <f t="shared" ref="H172" si="48">IF(F172="Can",G172*0.65,0)</f>
        <v>0</v>
      </c>
      <c r="I172" s="13">
        <f t="shared" ref="I172" si="49">IF(F172="Selim",G172*0.35,0)</f>
        <v>0</v>
      </c>
      <c r="J172" s="227">
        <v>2262</v>
      </c>
      <c r="K172" s="121">
        <f t="shared" ref="K172" si="50">IF(F172="Can",J172*0.65,0)</f>
        <v>0</v>
      </c>
      <c r="L172" s="129">
        <f t="shared" ref="L172:L173" si="51">IF(F172="Selim",J172*0.35,0)</f>
        <v>791.69999999999993</v>
      </c>
      <c r="M172" s="121"/>
      <c r="N172" s="198">
        <v>29.84</v>
      </c>
    </row>
    <row r="173" spans="1:16" x14ac:dyDescent="0.2">
      <c r="B173" s="575"/>
      <c r="C173" s="157">
        <v>44934</v>
      </c>
      <c r="D173" s="158" t="s">
        <v>163</v>
      </c>
      <c r="E173" s="239"/>
      <c r="F173" s="158" t="s">
        <v>90</v>
      </c>
      <c r="G173" s="159"/>
      <c r="H173" s="159"/>
      <c r="I173" s="159"/>
      <c r="J173" s="228">
        <v>0</v>
      </c>
      <c r="K173" s="160">
        <f>45000/29.91</f>
        <v>1504.5135406218656</v>
      </c>
      <c r="L173" s="161">
        <f t="shared" si="51"/>
        <v>0</v>
      </c>
      <c r="M173" s="160"/>
      <c r="N173" s="198">
        <v>29.91</v>
      </c>
    </row>
    <row r="174" spans="1:16" ht="16" customHeight="1" x14ac:dyDescent="0.2">
      <c r="B174" s="575"/>
      <c r="C174" s="157">
        <v>44934</v>
      </c>
      <c r="D174" s="158" t="s">
        <v>169</v>
      </c>
      <c r="E174" s="239"/>
      <c r="F174" s="158" t="s">
        <v>90</v>
      </c>
      <c r="G174" s="159"/>
      <c r="H174" s="159"/>
      <c r="I174" s="159"/>
      <c r="J174" s="228">
        <v>0</v>
      </c>
      <c r="K174" s="160">
        <f>71500/29.91</f>
        <v>2390.504847876964</v>
      </c>
      <c r="L174" s="161">
        <f t="shared" ref="L174" si="52">IF(F174="Selim",J174*0.35,0)</f>
        <v>0</v>
      </c>
      <c r="M174" s="160"/>
      <c r="N174" s="198"/>
      <c r="O174" s="123"/>
      <c r="P174" s="149"/>
    </row>
    <row r="175" spans="1:16" ht="16" customHeight="1" x14ac:dyDescent="0.2">
      <c r="B175" s="575"/>
      <c r="C175" s="157">
        <v>44944</v>
      </c>
      <c r="D175" s="158" t="s">
        <v>190</v>
      </c>
      <c r="E175" s="239"/>
      <c r="F175" s="158" t="s">
        <v>90</v>
      </c>
      <c r="G175" s="159"/>
      <c r="H175" s="159"/>
      <c r="I175" s="159"/>
      <c r="J175" s="228">
        <v>0</v>
      </c>
      <c r="K175" s="160">
        <v>2000</v>
      </c>
      <c r="L175" s="161">
        <f t="shared" ref="L175" si="53">IF(F175="Selim",J175*0.35,0)</f>
        <v>0</v>
      </c>
      <c r="M175" s="160"/>
      <c r="N175" s="198"/>
      <c r="O175" s="123"/>
      <c r="P175" s="149"/>
    </row>
    <row r="176" spans="1:16" ht="16" customHeight="1" x14ac:dyDescent="0.2">
      <c r="B176" s="573"/>
      <c r="C176" s="99">
        <v>44949</v>
      </c>
      <c r="D176" s="12" t="s">
        <v>181</v>
      </c>
      <c r="E176" s="9"/>
      <c r="F176" s="12" t="s">
        <v>90</v>
      </c>
      <c r="G176" s="13">
        <v>0</v>
      </c>
      <c r="H176" s="13">
        <f t="shared" ref="H176" si="54">IF(F176="Can",G176*0.65,0)</f>
        <v>0</v>
      </c>
      <c r="I176" s="13">
        <f t="shared" ref="I176" si="55">IF(F176="Selim",G176*0.35,0)</f>
        <v>0</v>
      </c>
      <c r="J176" s="227">
        <f>1400-J177</f>
        <v>152</v>
      </c>
      <c r="K176" s="121">
        <f t="shared" ref="K176:K177" si="56">IF(F176="Can",J176*0.65,0)</f>
        <v>98.8</v>
      </c>
      <c r="L176" s="129">
        <f>IF(F176="Selim",J176*0.35,0)</f>
        <v>0</v>
      </c>
      <c r="M176" s="121"/>
      <c r="N176" s="198">
        <v>30.29</v>
      </c>
      <c r="O176" s="123"/>
      <c r="P176" s="149"/>
    </row>
    <row r="177" spans="1:16" ht="16" customHeight="1" x14ac:dyDescent="0.2">
      <c r="B177" s="573"/>
      <c r="C177" s="99">
        <v>44948</v>
      </c>
      <c r="D177" s="12" t="s">
        <v>182</v>
      </c>
      <c r="E177" s="9"/>
      <c r="F177" s="12" t="s">
        <v>89</v>
      </c>
      <c r="G177" s="13">
        <v>0</v>
      </c>
      <c r="H177" s="13">
        <f>IF(F177="Can",G177*0.65,0)</f>
        <v>0</v>
      </c>
      <c r="I177" s="13">
        <f>IF(F177="Selim",G177*0.35,0)</f>
        <v>0</v>
      </c>
      <c r="J177" s="227">
        <v>1248</v>
      </c>
      <c r="K177" s="121">
        <f t="shared" si="56"/>
        <v>0</v>
      </c>
      <c r="L177" s="129">
        <f>IF(F177="Selim",J177*0.35,0)</f>
        <v>436.79999999999995</v>
      </c>
      <c r="M177" s="121"/>
      <c r="N177" s="198">
        <v>30.29</v>
      </c>
      <c r="O177" s="123"/>
      <c r="P177" s="149"/>
    </row>
    <row r="178" spans="1:16" x14ac:dyDescent="0.2">
      <c r="B178" s="573"/>
      <c r="C178" s="99">
        <v>45313</v>
      </c>
      <c r="D178" s="12" t="s">
        <v>186</v>
      </c>
      <c r="E178" s="9"/>
      <c r="F178" s="12" t="s">
        <v>89</v>
      </c>
      <c r="G178" s="13">
        <v>0</v>
      </c>
      <c r="H178" s="13">
        <f t="shared" ref="H178" si="57">IF(F178="Can",G178*0.65,0)</f>
        <v>0</v>
      </c>
      <c r="I178" s="13">
        <f t="shared" ref="I178" si="58">IF(F178="Selim",G178*0.35,0)</f>
        <v>0</v>
      </c>
      <c r="J178" s="227">
        <v>1500</v>
      </c>
      <c r="K178" s="121">
        <f>IF(F178="Can",J178*0.65,0)</f>
        <v>0</v>
      </c>
      <c r="L178" s="129">
        <f>IF(F178="Selim",J178*0.35,0)</f>
        <v>525</v>
      </c>
      <c r="M178" s="121"/>
      <c r="N178" s="198"/>
      <c r="O178" s="123"/>
      <c r="P178" s="149"/>
    </row>
    <row r="179" spans="1:16" x14ac:dyDescent="0.2">
      <c r="B179" s="573"/>
      <c r="C179" s="99">
        <v>45313</v>
      </c>
      <c r="D179" s="12" t="s">
        <v>185</v>
      </c>
      <c r="E179" s="9"/>
      <c r="F179" s="12" t="s">
        <v>89</v>
      </c>
      <c r="G179" s="13">
        <v>0</v>
      </c>
      <c r="H179" s="13">
        <f>IF(F179="Can",G179*0.65,0)</f>
        <v>0</v>
      </c>
      <c r="I179" s="13">
        <f>IF(F179="Selim",G179*0.35,0)</f>
        <v>0</v>
      </c>
      <c r="J179" s="227">
        <v>1500</v>
      </c>
      <c r="K179" s="121">
        <f>IF(F179="Can",J179*0.65,0)</f>
        <v>0</v>
      </c>
      <c r="L179" s="129">
        <f>IF(F179="Selim",J179*0.35,0)</f>
        <v>525</v>
      </c>
      <c r="M179" s="121"/>
      <c r="N179" s="198"/>
      <c r="O179" s="123"/>
      <c r="P179" s="149"/>
    </row>
    <row r="180" spans="1:16" x14ac:dyDescent="0.2">
      <c r="A180" t="s">
        <v>150</v>
      </c>
      <c r="B180" s="573"/>
      <c r="C180" s="99"/>
      <c r="D180" s="12" t="s">
        <v>205</v>
      </c>
      <c r="E180" s="9"/>
      <c r="F180" s="12"/>
      <c r="G180" s="13"/>
      <c r="H180" s="13"/>
      <c r="I180" s="13"/>
      <c r="J180" s="227"/>
      <c r="K180" s="121">
        <f t="shared" ref="K180" si="59">IF(F180="Can",J180*0.65,0)</f>
        <v>0</v>
      </c>
      <c r="L180" s="129">
        <f t="shared" ref="L180:L181" si="60">IF(F180="Selim",J180*0.35,0)</f>
        <v>0</v>
      </c>
      <c r="M180" s="121"/>
      <c r="N180" s="200"/>
    </row>
    <row r="181" spans="1:16" ht="17" thickBot="1" x14ac:dyDescent="0.25">
      <c r="B181" s="573"/>
      <c r="C181" s="157">
        <v>45322</v>
      </c>
      <c r="D181" s="158" t="s">
        <v>191</v>
      </c>
      <c r="E181" s="239"/>
      <c r="F181" s="158" t="s">
        <v>90</v>
      </c>
      <c r="G181" s="159"/>
      <c r="H181" s="159"/>
      <c r="I181" s="159"/>
      <c r="J181" s="228">
        <v>0</v>
      </c>
      <c r="K181" s="160">
        <v>1000</v>
      </c>
      <c r="L181" s="161">
        <f t="shared" si="60"/>
        <v>0</v>
      </c>
      <c r="M181" s="160"/>
      <c r="N181" s="199"/>
    </row>
    <row r="182" spans="1:16" x14ac:dyDescent="0.2">
      <c r="B182" s="572">
        <v>45323</v>
      </c>
      <c r="C182" s="96">
        <v>45329</v>
      </c>
      <c r="D182" s="97" t="s">
        <v>189</v>
      </c>
      <c r="E182" s="236"/>
      <c r="F182" s="97" t="s">
        <v>89</v>
      </c>
      <c r="G182" s="98">
        <v>0</v>
      </c>
      <c r="H182" s="98">
        <f t="shared" ref="H182:H183" si="61">IF(F182="Can",G182*0.65,0)</f>
        <v>0</v>
      </c>
      <c r="I182" s="98">
        <f t="shared" ref="I182:I183" si="62">IF(F182="Selim",G182*0.35,0)</f>
        <v>0</v>
      </c>
      <c r="J182" s="230">
        <v>2284</v>
      </c>
      <c r="K182" s="134">
        <f t="shared" ref="K182" si="63">IF(F182="Can",J182*0.65,0)</f>
        <v>0</v>
      </c>
      <c r="L182" s="135">
        <f t="shared" ref="L182" si="64">IF(F182="Selim",J182*0.35,0)</f>
        <v>799.4</v>
      </c>
      <c r="M182" s="121"/>
      <c r="N182" s="198">
        <v>30.64</v>
      </c>
    </row>
    <row r="183" spans="1:16" x14ac:dyDescent="0.2">
      <c r="B183" s="575"/>
      <c r="C183" s="99">
        <v>45331</v>
      </c>
      <c r="D183" s="12" t="s">
        <v>201</v>
      </c>
      <c r="E183" s="9"/>
      <c r="F183" s="12" t="s">
        <v>89</v>
      </c>
      <c r="G183" s="13">
        <v>0</v>
      </c>
      <c r="H183" s="13">
        <f t="shared" si="61"/>
        <v>0</v>
      </c>
      <c r="I183" s="13">
        <f t="shared" si="62"/>
        <v>0</v>
      </c>
      <c r="J183" s="227">
        <v>1500</v>
      </c>
      <c r="K183" s="121">
        <f>IF(F183="Can",J183*0.65,0)</f>
        <v>0</v>
      </c>
      <c r="L183" s="129">
        <f>IF(F183="Selim",J183*0.35,0)</f>
        <v>525</v>
      </c>
      <c r="M183" s="121"/>
      <c r="N183" s="203"/>
      <c r="O183" s="123"/>
      <c r="P183" s="149"/>
    </row>
    <row r="184" spans="1:16" x14ac:dyDescent="0.2">
      <c r="B184" s="575"/>
      <c r="C184" s="99">
        <v>45331</v>
      </c>
      <c r="D184" s="12" t="s">
        <v>202</v>
      </c>
      <c r="E184" s="9"/>
      <c r="F184" s="12" t="s">
        <v>89</v>
      </c>
      <c r="G184" s="13">
        <v>0</v>
      </c>
      <c r="H184" s="13">
        <f>IF(F184="Can",G184*0.65,0)</f>
        <v>0</v>
      </c>
      <c r="I184" s="13">
        <f>IF(F184="Selim",G184*0.35,0)</f>
        <v>0</v>
      </c>
      <c r="J184" s="227">
        <v>1500</v>
      </c>
      <c r="K184" s="121">
        <f>IF(F184="Can",J184*0.65,0)</f>
        <v>0</v>
      </c>
      <c r="L184" s="129">
        <f>IF(F184="Selim",J184*0.35,0)</f>
        <v>525</v>
      </c>
      <c r="M184" s="121"/>
      <c r="N184" s="203"/>
      <c r="O184" s="123"/>
      <c r="P184" s="149"/>
    </row>
    <row r="185" spans="1:16" x14ac:dyDescent="0.2">
      <c r="B185" s="573"/>
      <c r="C185" s="157">
        <v>45324</v>
      </c>
      <c r="D185" s="158" t="s">
        <v>191</v>
      </c>
      <c r="E185" s="239"/>
      <c r="F185" s="158" t="s">
        <v>90</v>
      </c>
      <c r="G185" s="159"/>
      <c r="H185" s="159"/>
      <c r="I185" s="159"/>
      <c r="J185" s="228">
        <v>0</v>
      </c>
      <c r="K185" s="160">
        <v>1000</v>
      </c>
      <c r="L185" s="161">
        <f t="shared" ref="L185" si="65">IF(F185="Selim",J185*0.35,0)</f>
        <v>0</v>
      </c>
      <c r="M185" s="160"/>
      <c r="N185" s="199"/>
    </row>
    <row r="186" spans="1:16" ht="16" customHeight="1" x14ac:dyDescent="0.2">
      <c r="B186" s="573"/>
      <c r="C186" s="157">
        <v>45331</v>
      </c>
      <c r="D186" s="158" t="s">
        <v>215</v>
      </c>
      <c r="E186" s="239"/>
      <c r="F186" s="158" t="s">
        <v>90</v>
      </c>
      <c r="G186" s="159"/>
      <c r="H186" s="159"/>
      <c r="I186" s="159"/>
      <c r="J186" s="228">
        <v>0</v>
      </c>
      <c r="K186" s="160">
        <v>1000</v>
      </c>
      <c r="L186" s="161">
        <f t="shared" ref="L186" si="66">IF(F186="Selim",J186*0.35,0)</f>
        <v>0</v>
      </c>
      <c r="M186" s="160"/>
      <c r="N186" s="203"/>
      <c r="O186" s="123"/>
      <c r="P186" s="149"/>
    </row>
    <row r="187" spans="1:16" x14ac:dyDescent="0.2">
      <c r="B187" s="573"/>
      <c r="C187" s="99">
        <v>44980</v>
      </c>
      <c r="D187" s="12" t="s">
        <v>206</v>
      </c>
      <c r="E187" s="9"/>
      <c r="F187" s="12" t="s">
        <v>90</v>
      </c>
      <c r="G187" s="13">
        <v>0</v>
      </c>
      <c r="H187" s="13">
        <f t="shared" ref="H187" si="67">IF(F187="Can",G187*0.65,0)</f>
        <v>0</v>
      </c>
      <c r="I187" s="13">
        <f t="shared" ref="I187" si="68">IF(F187="Selim",G187*0.35,0)</f>
        <v>0</v>
      </c>
      <c r="J187" s="227">
        <v>148</v>
      </c>
      <c r="K187" s="121">
        <f t="shared" ref="K187:K189" si="69">IF(F187="Can",J187*0.65,0)</f>
        <v>96.2</v>
      </c>
      <c r="L187" s="129">
        <f>IF(F187="Selim",J187*0.35,0)</f>
        <v>0</v>
      </c>
      <c r="M187" s="121"/>
      <c r="N187" s="198">
        <f>4600/Table2[[#This Row],[Gelen Para 
(USD)]]</f>
        <v>31.081081081081081</v>
      </c>
      <c r="O187" s="123"/>
      <c r="P187" s="149"/>
    </row>
    <row r="188" spans="1:16" ht="17" thickBot="1" x14ac:dyDescent="0.25">
      <c r="B188" s="574"/>
      <c r="C188" s="100">
        <v>44983</v>
      </c>
      <c r="D188" s="101" t="s">
        <v>207</v>
      </c>
      <c r="E188" s="216"/>
      <c r="F188" s="101" t="s">
        <v>89</v>
      </c>
      <c r="G188" s="102">
        <v>0</v>
      </c>
      <c r="H188" s="102">
        <f>IF(F188="Can",G188*0.65,0)</f>
        <v>0</v>
      </c>
      <c r="I188" s="102">
        <f>IF(F188="Selim",G188*0.35,0)</f>
        <v>0</v>
      </c>
      <c r="J188" s="229">
        <v>1252</v>
      </c>
      <c r="K188" s="185">
        <f t="shared" si="69"/>
        <v>0</v>
      </c>
      <c r="L188" s="186">
        <f>IF(F188="Selim",J188*0.35,0)</f>
        <v>438.2</v>
      </c>
      <c r="M188" s="121"/>
      <c r="N188" s="198">
        <f>N187</f>
        <v>31.081081081081081</v>
      </c>
      <c r="O188" s="123"/>
      <c r="P188" s="149"/>
    </row>
    <row r="189" spans="1:16" x14ac:dyDescent="0.2">
      <c r="B189" s="575">
        <v>45352</v>
      </c>
      <c r="C189" s="99">
        <v>45358</v>
      </c>
      <c r="D189" s="12" t="s">
        <v>208</v>
      </c>
      <c r="E189" s="9"/>
      <c r="F189" s="12" t="s">
        <v>89</v>
      </c>
      <c r="G189" s="13">
        <v>0</v>
      </c>
      <c r="H189" s="13">
        <f t="shared" ref="H189" si="70">IF(F189="Can",G189*0.65,0)</f>
        <v>0</v>
      </c>
      <c r="I189" s="13">
        <f t="shared" ref="I189" si="71">IF(F189="Selim",G189*0.35,0)</f>
        <v>0</v>
      </c>
      <c r="J189" s="227">
        <f>75400/Table2[[#This Row],[Kur]]</f>
        <v>2328.0876494023901</v>
      </c>
      <c r="K189" s="121">
        <f t="shared" si="69"/>
        <v>0</v>
      </c>
      <c r="L189" s="129">
        <f t="shared" ref="L189" si="72">IF(F189="Selim",J189*0.35,0)</f>
        <v>814.83067729083643</v>
      </c>
      <c r="M189" s="121"/>
      <c r="N189" s="198">
        <f>(75400+25000)/3100</f>
        <v>32.387096774193552</v>
      </c>
      <c r="O189" s="123"/>
      <c r="P189" s="149"/>
    </row>
    <row r="190" spans="1:16" x14ac:dyDescent="0.2">
      <c r="B190" s="573"/>
      <c r="C190" s="157">
        <v>44986</v>
      </c>
      <c r="D190" s="158" t="s">
        <v>190</v>
      </c>
      <c r="E190" s="239"/>
      <c r="F190" s="158" t="s">
        <v>90</v>
      </c>
      <c r="G190" s="159"/>
      <c r="H190" s="159"/>
      <c r="I190" s="159"/>
      <c r="J190" s="228">
        <v>0</v>
      </c>
      <c r="K190" s="160">
        <v>2000</v>
      </c>
      <c r="L190" s="161">
        <f t="shared" ref="L190" si="73">IF(F190="Selim",J190*0.35,0)</f>
        <v>0</v>
      </c>
      <c r="M190" s="160"/>
      <c r="N190" s="203"/>
      <c r="O190" s="123"/>
      <c r="P190" s="149"/>
    </row>
    <row r="191" spans="1:16" ht="16" customHeight="1" x14ac:dyDescent="0.2">
      <c r="B191" s="573"/>
      <c r="C191" s="99">
        <v>45377</v>
      </c>
      <c r="D191" s="12" t="s">
        <v>214</v>
      </c>
      <c r="E191" s="9"/>
      <c r="F191" s="12" t="s">
        <v>89</v>
      </c>
      <c r="G191" s="13">
        <v>0</v>
      </c>
      <c r="H191" s="13">
        <f>IF(F191="Can",G191*0.65,0)</f>
        <v>0</v>
      </c>
      <c r="I191" s="13">
        <f>IF(F191="Selim",G191*0.35,0)</f>
        <v>0</v>
      </c>
      <c r="J191" s="227">
        <v>3000</v>
      </c>
      <c r="K191" s="121">
        <f>IF(F191="Can",J191*0.65,0)</f>
        <v>0</v>
      </c>
      <c r="L191" s="129">
        <f>IF(F191="Selim",J191*0.35,0)</f>
        <v>1050</v>
      </c>
      <c r="M191" s="121"/>
      <c r="N191" s="201"/>
    </row>
    <row r="192" spans="1:16" x14ac:dyDescent="0.2">
      <c r="B192" s="573"/>
      <c r="C192" s="99">
        <v>45014</v>
      </c>
      <c r="D192" s="12" t="s">
        <v>213</v>
      </c>
      <c r="E192" s="9"/>
      <c r="F192" s="12" t="s">
        <v>90</v>
      </c>
      <c r="G192" s="13">
        <v>0</v>
      </c>
      <c r="H192" s="13">
        <f t="shared" ref="H192" si="74">IF(F192="Can",G192*0.65,0)</f>
        <v>0</v>
      </c>
      <c r="I192" s="13">
        <f t="shared" ref="I192" si="75">IF(F192="Selim",G192*0.35,0)</f>
        <v>0</v>
      </c>
      <c r="J192" s="227">
        <f>1400-J193</f>
        <v>140</v>
      </c>
      <c r="K192" s="121">
        <f t="shared" ref="K192:K193" si="76">IF(F192="Can",J192*0.65,0)</f>
        <v>91</v>
      </c>
      <c r="L192" s="129">
        <f>IF(F192="Selim",J192*0.35,0)</f>
        <v>0</v>
      </c>
      <c r="M192" s="121"/>
      <c r="N192" s="201">
        <f>4600/Table2[[#This Row],[Gelen Para 
(USD)]]</f>
        <v>32.857142857142854</v>
      </c>
    </row>
    <row r="193" spans="2:14" ht="17" thickBot="1" x14ac:dyDescent="0.25">
      <c r="B193" s="574"/>
      <c r="C193" s="100">
        <v>45397</v>
      </c>
      <c r="D193" s="101" t="s">
        <v>221</v>
      </c>
      <c r="E193" s="216"/>
      <c r="F193" s="101" t="s">
        <v>89</v>
      </c>
      <c r="G193" s="102">
        <v>0</v>
      </c>
      <c r="H193" s="102">
        <f>IF(F193="Can",G193*0.65,0)</f>
        <v>0</v>
      </c>
      <c r="I193" s="102">
        <f>IF(F193="Selim",G193*0.35,0)</f>
        <v>0</v>
      </c>
      <c r="J193" s="229">
        <v>1260</v>
      </c>
      <c r="K193" s="185">
        <f t="shared" si="76"/>
        <v>0</v>
      </c>
      <c r="L193" s="186">
        <f>IF(F193="Selim",J193*0.35,0)</f>
        <v>441</v>
      </c>
      <c r="M193" s="121"/>
      <c r="N193" s="198">
        <f>N192</f>
        <v>32.857142857142854</v>
      </c>
    </row>
    <row r="194" spans="2:14" ht="17" thickBot="1" x14ac:dyDescent="0.25">
      <c r="B194" s="572">
        <v>45383</v>
      </c>
      <c r="C194" s="99">
        <v>45389</v>
      </c>
      <c r="D194" s="12" t="s">
        <v>211</v>
      </c>
      <c r="E194" s="9"/>
      <c r="F194" s="12" t="s">
        <v>89</v>
      </c>
      <c r="G194" s="13">
        <v>0</v>
      </c>
      <c r="H194" s="13">
        <f t="shared" ref="H194" si="77">IF(F194="Can",G194*0.65,0)</f>
        <v>0</v>
      </c>
      <c r="I194" s="13">
        <f t="shared" ref="I194" si="78">IF(F194="Selim",G194*0.35,0)</f>
        <v>0</v>
      </c>
      <c r="J194" s="227">
        <f>75400/Table2[[#This Row],[Kur]]</f>
        <v>2334.3653250773996</v>
      </c>
      <c r="K194" s="121">
        <f t="shared" ref="K194" si="79">IF(F194="Can",J194*0.65,0)</f>
        <v>0</v>
      </c>
      <c r="L194" s="129">
        <f t="shared" ref="L194" si="80">IF(F194="Selim",J194*0.35,0)</f>
        <v>817.02786377708981</v>
      </c>
      <c r="M194" s="121"/>
      <c r="N194" s="198">
        <f>(75130+25000)/3100</f>
        <v>32.299999999999997</v>
      </c>
    </row>
    <row r="195" spans="2:14" ht="17" thickBot="1" x14ac:dyDescent="0.25">
      <c r="B195" s="573"/>
      <c r="C195" s="192">
        <v>45406</v>
      </c>
      <c r="D195" s="193" t="s">
        <v>113</v>
      </c>
      <c r="E195" s="243"/>
      <c r="F195" s="193" t="s">
        <v>114</v>
      </c>
      <c r="G195" s="194"/>
      <c r="H195" s="194"/>
      <c r="I195" s="194"/>
      <c r="J195" s="234"/>
      <c r="K195" s="195"/>
      <c r="L195" s="196">
        <v>1388.23</v>
      </c>
      <c r="M195" s="354"/>
      <c r="N195" s="366"/>
    </row>
    <row r="196" spans="2:14" x14ac:dyDescent="0.2">
      <c r="B196" s="573"/>
      <c r="C196" s="99">
        <v>45450</v>
      </c>
      <c r="D196" s="12" t="s">
        <v>219</v>
      </c>
      <c r="E196" s="9"/>
      <c r="F196" s="12" t="s">
        <v>89</v>
      </c>
      <c r="G196" s="13"/>
      <c r="H196" s="13"/>
      <c r="I196" s="13"/>
      <c r="J196" s="227">
        <v>1500</v>
      </c>
      <c r="K196" s="121">
        <f>IF(F196="Can",J196*0.65,0)</f>
        <v>0</v>
      </c>
      <c r="L196" s="129">
        <f>IF(F196="Selim",J196*0.35,0)</f>
        <v>525</v>
      </c>
      <c r="M196" s="121" t="s">
        <v>413</v>
      </c>
      <c r="N196" s="205">
        <v>32.246299999999998</v>
      </c>
    </row>
    <row r="197" spans="2:14" x14ac:dyDescent="0.2">
      <c r="B197" s="573"/>
      <c r="C197" s="99">
        <v>45424</v>
      </c>
      <c r="D197" s="12" t="s">
        <v>220</v>
      </c>
      <c r="E197" s="9"/>
      <c r="F197" s="12" t="s">
        <v>90</v>
      </c>
      <c r="G197" s="13"/>
      <c r="H197" s="13"/>
      <c r="I197" s="13"/>
      <c r="J197" s="227">
        <f>1400-J198</f>
        <v>143</v>
      </c>
      <c r="K197" s="121">
        <f t="shared" ref="K197:K198" si="81">IF(F197="Can",J197*0.65,0)</f>
        <v>92.95</v>
      </c>
      <c r="L197" s="129">
        <f>IF(F197="Selim",J197*0.35,0)</f>
        <v>0</v>
      </c>
      <c r="M197" s="121" t="s">
        <v>413</v>
      </c>
      <c r="N197" s="205">
        <f>4600/Table2[[#This Row],[Gelen Para 
(USD)]]</f>
        <v>32.167832167832167</v>
      </c>
    </row>
    <row r="198" spans="2:14" ht="17" thickBot="1" x14ac:dyDescent="0.25">
      <c r="B198" s="574"/>
      <c r="C198" s="100">
        <v>45425</v>
      </c>
      <c r="D198" s="101" t="s">
        <v>222</v>
      </c>
      <c r="E198" s="216"/>
      <c r="F198" s="101" t="s">
        <v>89</v>
      </c>
      <c r="G198" s="102"/>
      <c r="H198" s="102"/>
      <c r="I198" s="102"/>
      <c r="J198" s="229">
        <v>1257</v>
      </c>
      <c r="K198" s="185">
        <f t="shared" si="81"/>
        <v>0</v>
      </c>
      <c r="L198" s="186">
        <f>IF(F198="Selim",J198*0.35,0)</f>
        <v>439.95</v>
      </c>
      <c r="M198" s="121" t="s">
        <v>413</v>
      </c>
      <c r="N198" s="205">
        <f>N197</f>
        <v>32.167832167832167</v>
      </c>
    </row>
    <row r="199" spans="2:14" x14ac:dyDescent="0.2">
      <c r="B199" s="572">
        <v>45413</v>
      </c>
      <c r="C199" s="99">
        <v>45414</v>
      </c>
      <c r="D199" s="12" t="s">
        <v>218</v>
      </c>
      <c r="E199" s="9"/>
      <c r="F199" s="12" t="s">
        <v>89</v>
      </c>
      <c r="G199" s="13">
        <v>0</v>
      </c>
      <c r="H199" s="13">
        <f t="shared" ref="H199" si="82">IF(F199="Can",G199*0.65,0)</f>
        <v>0</v>
      </c>
      <c r="I199" s="13">
        <f t="shared" ref="I199" si="83">IF(F199="Selim",G199*0.35,0)</f>
        <v>0</v>
      </c>
      <c r="J199" s="227">
        <f>75000/Table2[[#This Row],[Kur]]</f>
        <v>2325</v>
      </c>
      <c r="K199" s="121">
        <f t="shared" ref="K199" si="84">IF(F199="Can",J199*0.65,0)</f>
        <v>0</v>
      </c>
      <c r="L199" s="129">
        <f t="shared" ref="L199" si="85">IF(F199="Selim",J199*0.35,0)</f>
        <v>813.75</v>
      </c>
      <c r="M199" s="121" t="s">
        <v>413</v>
      </c>
      <c r="N199" s="205">
        <f>(75000+25000)/3100</f>
        <v>32.258064516129032</v>
      </c>
    </row>
    <row r="200" spans="2:14" ht="16" customHeight="1" x14ac:dyDescent="0.2">
      <c r="B200" s="573"/>
      <c r="C200" s="99">
        <v>45450</v>
      </c>
      <c r="D200" s="12" t="s">
        <v>224</v>
      </c>
      <c r="E200" s="9"/>
      <c r="F200" s="12" t="s">
        <v>89</v>
      </c>
      <c r="G200" s="13"/>
      <c r="H200" s="13"/>
      <c r="I200" s="13"/>
      <c r="J200" s="227">
        <v>1500</v>
      </c>
      <c r="K200" s="121">
        <f>IF(F200="Can",J200*0.65,0)</f>
        <v>0</v>
      </c>
      <c r="L200" s="129">
        <f>IF(F200="Selim",J200*0.35,0)</f>
        <v>525</v>
      </c>
      <c r="M200" s="121" t="s">
        <v>413</v>
      </c>
      <c r="N200" s="205">
        <v>32.246299999999998</v>
      </c>
    </row>
    <row r="201" spans="2:14" x14ac:dyDescent="0.2">
      <c r="B201" s="573"/>
      <c r="C201" s="99">
        <v>45454</v>
      </c>
      <c r="D201" s="12" t="s">
        <v>225</v>
      </c>
      <c r="E201" s="9"/>
      <c r="F201" s="12" t="s">
        <v>90</v>
      </c>
      <c r="G201" s="13"/>
      <c r="H201" s="13"/>
      <c r="I201" s="13"/>
      <c r="J201" s="227">
        <f>1400-J202</f>
        <v>143</v>
      </c>
      <c r="K201" s="121">
        <f t="shared" ref="K201:K202" si="86">IF(F201="Can",J201*0.65,0)</f>
        <v>92.95</v>
      </c>
      <c r="L201" s="129">
        <f>IF(F201="Selim",J201*0.35,0)</f>
        <v>0</v>
      </c>
      <c r="M201" s="121" t="s">
        <v>413</v>
      </c>
      <c r="N201" s="205">
        <f>4600/Table2[[#This Row],[Gelen Para 
(USD)]]</f>
        <v>32.167832167832167</v>
      </c>
    </row>
    <row r="202" spans="2:14" ht="17" thickBot="1" x14ac:dyDescent="0.25">
      <c r="B202" s="574"/>
      <c r="C202" s="100">
        <v>45454</v>
      </c>
      <c r="D202" s="101" t="s">
        <v>226</v>
      </c>
      <c r="E202" s="216"/>
      <c r="F202" s="101" t="s">
        <v>89</v>
      </c>
      <c r="G202" s="102"/>
      <c r="H202" s="102"/>
      <c r="I202" s="102"/>
      <c r="J202" s="229">
        <v>1257</v>
      </c>
      <c r="K202" s="185">
        <f t="shared" si="86"/>
        <v>0</v>
      </c>
      <c r="L202" s="186">
        <f>IF(F202="Selim",J202*0.35,0)</f>
        <v>439.95</v>
      </c>
      <c r="M202" s="121" t="s">
        <v>413</v>
      </c>
      <c r="N202" s="205">
        <f>N201</f>
        <v>32.167832167832167</v>
      </c>
    </row>
    <row r="203" spans="2:14" x14ac:dyDescent="0.2">
      <c r="B203" s="572">
        <v>45444</v>
      </c>
      <c r="C203" s="96">
        <v>45450</v>
      </c>
      <c r="D203" s="97" t="s">
        <v>228</v>
      </c>
      <c r="E203" s="236"/>
      <c r="F203" s="97" t="s">
        <v>89</v>
      </c>
      <c r="G203" s="98"/>
      <c r="H203" s="98"/>
      <c r="I203" s="98"/>
      <c r="J203" s="230">
        <f>75400/Table2[[#This Row],[Kur]]</f>
        <v>2344.4332998996988</v>
      </c>
      <c r="K203" s="134">
        <f t="shared" ref="K203" si="87">IF(F203="Can",J203*0.65,0)</f>
        <v>0</v>
      </c>
      <c r="L203" s="135">
        <f t="shared" ref="L203" si="88">IF(F203="Selim",J203*0.35,0)</f>
        <v>820.55165496489451</v>
      </c>
      <c r="M203" s="121" t="s">
        <v>413</v>
      </c>
      <c r="N203" s="205">
        <f>(74700+25000)/3100</f>
        <v>32.161290322580648</v>
      </c>
    </row>
    <row r="204" spans="2:14" ht="16" customHeight="1" x14ac:dyDescent="0.2">
      <c r="B204" s="573"/>
      <c r="C204" s="99">
        <v>45450</v>
      </c>
      <c r="D204" s="12" t="s">
        <v>227</v>
      </c>
      <c r="E204" s="9"/>
      <c r="F204" s="12" t="s">
        <v>89</v>
      </c>
      <c r="G204" s="13"/>
      <c r="H204" s="13"/>
      <c r="I204" s="13"/>
      <c r="J204" s="227">
        <v>1500</v>
      </c>
      <c r="K204" s="121">
        <f>IF(F204="Can",J204*0.65,0)</f>
        <v>0</v>
      </c>
      <c r="L204" s="129">
        <f>IF(F204="Selim",J204*0.35,0)</f>
        <v>525</v>
      </c>
      <c r="M204" s="121" t="s">
        <v>413</v>
      </c>
      <c r="N204" s="205">
        <v>32.246299999999998</v>
      </c>
    </row>
    <row r="205" spans="2:14" x14ac:dyDescent="0.2">
      <c r="B205" s="573"/>
      <c r="C205" s="99">
        <v>45465</v>
      </c>
      <c r="D205" s="12" t="s">
        <v>229</v>
      </c>
      <c r="E205" s="9"/>
      <c r="F205" s="12" t="s">
        <v>90</v>
      </c>
      <c r="G205" s="13"/>
      <c r="H205" s="13"/>
      <c r="I205" s="13"/>
      <c r="J205" s="227">
        <v>140</v>
      </c>
      <c r="K205" s="121">
        <f t="shared" ref="K205:K211" si="89">IF(F205="Can",J205*0.65,0)</f>
        <v>91</v>
      </c>
      <c r="L205" s="129">
        <f t="shared" ref="L205:L211" si="90">IF(F205="Selim",J205*0.35,0)</f>
        <v>0</v>
      </c>
      <c r="M205" s="121" t="s">
        <v>413</v>
      </c>
      <c r="N205" s="205"/>
    </row>
    <row r="206" spans="2:14" ht="17" thickBot="1" x14ac:dyDescent="0.25">
      <c r="B206" s="574"/>
      <c r="C206" s="100">
        <v>45467</v>
      </c>
      <c r="D206" s="101" t="s">
        <v>230</v>
      </c>
      <c r="E206" s="216"/>
      <c r="F206" s="101" t="s">
        <v>89</v>
      </c>
      <c r="G206" s="102"/>
      <c r="H206" s="102"/>
      <c r="I206" s="102"/>
      <c r="J206" s="229">
        <v>1260</v>
      </c>
      <c r="K206" s="185">
        <f t="shared" si="89"/>
        <v>0</v>
      </c>
      <c r="L206" s="186">
        <f t="shared" si="90"/>
        <v>441</v>
      </c>
      <c r="M206" s="121" t="s">
        <v>413</v>
      </c>
      <c r="N206" s="205"/>
    </row>
    <row r="207" spans="2:14" x14ac:dyDescent="0.2">
      <c r="B207" s="579">
        <v>45474</v>
      </c>
      <c r="C207" s="96">
        <v>45478</v>
      </c>
      <c r="D207" s="97" t="s">
        <v>237</v>
      </c>
      <c r="E207" s="236"/>
      <c r="F207" s="97" t="s">
        <v>89</v>
      </c>
      <c r="G207" s="98"/>
      <c r="H207" s="98"/>
      <c r="I207" s="98"/>
      <c r="J207" s="230">
        <f>76000/Table2[[#This Row],[Kur]]</f>
        <v>2332.6732673267329</v>
      </c>
      <c r="K207" s="134">
        <f t="shared" si="89"/>
        <v>0</v>
      </c>
      <c r="L207" s="135">
        <f t="shared" si="90"/>
        <v>816.4356435643565</v>
      </c>
      <c r="M207" s="121" t="s">
        <v>413</v>
      </c>
      <c r="N207" s="205">
        <f>(76000+25000)/3100</f>
        <v>32.58064516129032</v>
      </c>
    </row>
    <row r="208" spans="2:14" x14ac:dyDescent="0.2">
      <c r="B208" s="580"/>
      <c r="C208" s="99"/>
      <c r="D208" s="12" t="s">
        <v>233</v>
      </c>
      <c r="E208" s="9"/>
      <c r="F208" s="12"/>
      <c r="G208" s="13"/>
      <c r="H208" s="13"/>
      <c r="I208" s="13"/>
      <c r="J208" s="227"/>
      <c r="K208" s="121">
        <f>IF(F208="Can",J208*0.65,0)</f>
        <v>0</v>
      </c>
      <c r="L208" s="129">
        <f>IF(F208="Selim",J208*0.35,0)</f>
        <v>0</v>
      </c>
      <c r="M208" s="121" t="s">
        <v>413</v>
      </c>
      <c r="N208" s="205"/>
    </row>
    <row r="209" spans="2:14" x14ac:dyDescent="0.2">
      <c r="B209" s="580"/>
      <c r="C209" s="345">
        <v>45488</v>
      </c>
      <c r="D209" s="12" t="s">
        <v>231</v>
      </c>
      <c r="E209" s="9"/>
      <c r="F209" s="12" t="s">
        <v>90</v>
      </c>
      <c r="G209" s="13"/>
      <c r="H209" s="13"/>
      <c r="I209" s="13"/>
      <c r="J209" s="346">
        <f>4600/(8200/240)</f>
        <v>134.63414634146343</v>
      </c>
      <c r="K209" s="121">
        <f t="shared" si="89"/>
        <v>87.512195121951237</v>
      </c>
      <c r="L209" s="129">
        <f t="shared" si="90"/>
        <v>0</v>
      </c>
      <c r="M209" s="121" t="s">
        <v>413</v>
      </c>
      <c r="N209" s="205"/>
    </row>
    <row r="210" spans="2:14" ht="17" thickBot="1" x14ac:dyDescent="0.25">
      <c r="B210" s="581"/>
      <c r="C210" s="345">
        <v>45490</v>
      </c>
      <c r="D210" s="101" t="s">
        <v>232</v>
      </c>
      <c r="E210" s="216"/>
      <c r="F210" s="101" t="s">
        <v>89</v>
      </c>
      <c r="G210" s="102"/>
      <c r="H210" s="102"/>
      <c r="I210" s="102"/>
      <c r="J210" s="347">
        <f>(1160+3600/(8200/240))</f>
        <v>1265.3658536585367</v>
      </c>
      <c r="K210" s="121">
        <f t="shared" si="89"/>
        <v>0</v>
      </c>
      <c r="L210" s="129">
        <f t="shared" si="90"/>
        <v>442.8780487804878</v>
      </c>
      <c r="M210" s="121" t="s">
        <v>413</v>
      </c>
      <c r="N210" s="205"/>
    </row>
    <row r="211" spans="2:14" ht="16" customHeight="1" x14ac:dyDescent="0.2">
      <c r="B211" s="582">
        <v>45505</v>
      </c>
      <c r="C211" s="99">
        <v>45512</v>
      </c>
      <c r="D211" s="12" t="s">
        <v>238</v>
      </c>
      <c r="E211" s="9"/>
      <c r="F211" s="12" t="s">
        <v>89</v>
      </c>
      <c r="G211" s="13">
        <v>0</v>
      </c>
      <c r="H211" s="13">
        <f t="shared" ref="H211" si="91">IF(F211="Can",G211*0.65,0)</f>
        <v>0</v>
      </c>
      <c r="I211" s="13">
        <f t="shared" ref="I211" si="92">IF(F211="Selim",G211*0.35,0)</f>
        <v>0</v>
      </c>
      <c r="J211" s="227">
        <f>77850/((77850+25000)/3100)</f>
        <v>2346.4754496840055</v>
      </c>
      <c r="K211" s="121">
        <f t="shared" si="89"/>
        <v>0</v>
      </c>
      <c r="L211" s="129">
        <f t="shared" si="90"/>
        <v>821.26640738940193</v>
      </c>
      <c r="M211" s="121" t="s">
        <v>413</v>
      </c>
      <c r="N211" s="205">
        <f>((77850+25000)/3100)</f>
        <v>33.177419354838712</v>
      </c>
    </row>
    <row r="212" spans="2:14" ht="16" customHeight="1" x14ac:dyDescent="0.2">
      <c r="B212" s="583"/>
      <c r="C212" s="99"/>
      <c r="D212" s="12" t="s">
        <v>235</v>
      </c>
      <c r="E212" s="9"/>
      <c r="F212" s="12" t="s">
        <v>89</v>
      </c>
      <c r="G212" s="13"/>
      <c r="H212" s="13"/>
      <c r="I212" s="13"/>
      <c r="J212" s="227"/>
      <c r="K212" s="121">
        <f>IF(F212="Can",J212*0.65,0)</f>
        <v>0</v>
      </c>
      <c r="L212" s="129">
        <f>IF(F212="Selim",J212*0.35,0)</f>
        <v>0</v>
      </c>
      <c r="M212" s="121" t="s">
        <v>413</v>
      </c>
      <c r="N212" s="205">
        <v>32.246299999999998</v>
      </c>
    </row>
    <row r="213" spans="2:14" x14ac:dyDescent="0.2">
      <c r="B213" s="583"/>
      <c r="C213" s="99">
        <v>45523</v>
      </c>
      <c r="D213" s="12" t="s">
        <v>242</v>
      </c>
      <c r="E213" s="9"/>
      <c r="F213" s="12" t="s">
        <v>90</v>
      </c>
      <c r="G213" s="13"/>
      <c r="H213" s="13"/>
      <c r="I213" s="13"/>
      <c r="J213" s="227">
        <v>136</v>
      </c>
      <c r="K213" s="121">
        <f t="shared" ref="K213:K215" si="93">IF(F213="Can",J213*0.65,0)</f>
        <v>88.4</v>
      </c>
      <c r="L213" s="129">
        <f>IF(F213="Selim",J213*0.35,0)</f>
        <v>0</v>
      </c>
      <c r="M213" s="121" t="s">
        <v>413</v>
      </c>
      <c r="N213" s="205">
        <f>4600/Table2[[#This Row],[Gelen Para 
(USD)]]</f>
        <v>33.823529411764703</v>
      </c>
    </row>
    <row r="214" spans="2:14" ht="17" thickBot="1" x14ac:dyDescent="0.25">
      <c r="B214" s="584"/>
      <c r="C214" s="100">
        <v>45523</v>
      </c>
      <c r="D214" s="101" t="s">
        <v>243</v>
      </c>
      <c r="E214" s="216"/>
      <c r="F214" s="101" t="s">
        <v>89</v>
      </c>
      <c r="G214" s="102"/>
      <c r="H214" s="102"/>
      <c r="I214" s="102"/>
      <c r="J214" s="229">
        <v>1264</v>
      </c>
      <c r="K214" s="185">
        <f t="shared" si="93"/>
        <v>0</v>
      </c>
      <c r="L214" s="186">
        <f>IF(F214="Selim",J214*0.35,0)</f>
        <v>442.4</v>
      </c>
      <c r="M214" s="121" t="s">
        <v>413</v>
      </c>
      <c r="N214" s="205">
        <f>N213</f>
        <v>33.823529411764703</v>
      </c>
    </row>
    <row r="215" spans="2:14" ht="16" customHeight="1" x14ac:dyDescent="0.2">
      <c r="B215" s="585">
        <v>45536</v>
      </c>
      <c r="C215" s="96">
        <v>45540</v>
      </c>
      <c r="D215" s="97" t="s">
        <v>239</v>
      </c>
      <c r="E215" s="236"/>
      <c r="F215" s="97" t="s">
        <v>89</v>
      </c>
      <c r="G215" s="98"/>
      <c r="H215" s="98"/>
      <c r="I215" s="98"/>
      <c r="J215" s="227">
        <f>80200/((80200+25000)/3100)</f>
        <v>2363.3079847908743</v>
      </c>
      <c r="K215" s="134">
        <f t="shared" si="93"/>
        <v>0</v>
      </c>
      <c r="L215" s="135">
        <f t="shared" ref="L215" si="94">IF(F215="Selim",J215*0.35,0)</f>
        <v>827.15779467680602</v>
      </c>
      <c r="M215" s="121" t="s">
        <v>413</v>
      </c>
      <c r="N215" s="205">
        <f>(74700+25000)/3100</f>
        <v>32.161290322580648</v>
      </c>
    </row>
    <row r="216" spans="2:14" ht="16" customHeight="1" thickBot="1" x14ac:dyDescent="0.25">
      <c r="B216" s="583"/>
      <c r="C216" s="99"/>
      <c r="D216" s="12" t="s">
        <v>236</v>
      </c>
      <c r="E216" s="9"/>
      <c r="F216" s="12" t="s">
        <v>89</v>
      </c>
      <c r="G216" s="13"/>
      <c r="H216" s="13"/>
      <c r="I216" s="13"/>
      <c r="J216" s="227"/>
      <c r="K216" s="121">
        <f>IF(F216="Can",J216*0.65,0)</f>
        <v>0</v>
      </c>
      <c r="L216" s="129">
        <f>IF(F216="Selim",J216*0.35,0)</f>
        <v>0</v>
      </c>
      <c r="M216" s="121" t="s">
        <v>413</v>
      </c>
      <c r="N216" s="205">
        <v>32.246299999999998</v>
      </c>
    </row>
    <row r="217" spans="2:14" ht="16" customHeight="1" thickBot="1" x14ac:dyDescent="0.25">
      <c r="B217" s="583"/>
      <c r="C217" s="327">
        <v>45552</v>
      </c>
      <c r="D217" s="328" t="s">
        <v>113</v>
      </c>
      <c r="E217" s="329"/>
      <c r="F217" s="328" t="s">
        <v>114</v>
      </c>
      <c r="G217" s="331"/>
      <c r="H217" s="331"/>
      <c r="I217" s="331"/>
      <c r="J217" s="332"/>
      <c r="K217" s="333"/>
      <c r="L217" s="334">
        <v>-6008.79</v>
      </c>
      <c r="M217" s="121" t="s">
        <v>413</v>
      </c>
      <c r="N217" s="205"/>
    </row>
    <row r="218" spans="2:14" x14ac:dyDescent="0.2">
      <c r="B218" s="583"/>
      <c r="C218" s="99">
        <v>45555</v>
      </c>
      <c r="D218" s="12" t="s">
        <v>244</v>
      </c>
      <c r="E218" s="9"/>
      <c r="F218" s="12" t="s">
        <v>90</v>
      </c>
      <c r="G218" s="13"/>
      <c r="H218" s="13"/>
      <c r="I218" s="13"/>
      <c r="J218" s="227">
        <v>135</v>
      </c>
      <c r="K218" s="121">
        <f t="shared" ref="K218:K220" si="95">IF(F218="Can",J218*0.65,0)</f>
        <v>87.75</v>
      </c>
      <c r="L218" s="129">
        <f t="shared" ref="L218:L220" si="96">IF(F218="Selim",J218*0.35,0)</f>
        <v>0</v>
      </c>
      <c r="M218" s="121" t="s">
        <v>413</v>
      </c>
      <c r="N218" s="205">
        <f>-4600/Table2[[#This Row],[Gelen Para 
(USD)]]</f>
        <v>-34.074074074074076</v>
      </c>
    </row>
    <row r="219" spans="2:14" ht="17" thickBot="1" x14ac:dyDescent="0.25">
      <c r="B219" s="584"/>
      <c r="C219" s="100">
        <v>45558</v>
      </c>
      <c r="D219" s="101" t="s">
        <v>245</v>
      </c>
      <c r="E219" s="216"/>
      <c r="F219" s="101" t="s">
        <v>89</v>
      </c>
      <c r="G219" s="102"/>
      <c r="H219" s="102"/>
      <c r="I219" s="102"/>
      <c r="J219" s="229">
        <v>1265</v>
      </c>
      <c r="K219" s="185">
        <f t="shared" si="95"/>
        <v>0</v>
      </c>
      <c r="L219" s="186">
        <f t="shared" si="96"/>
        <v>442.75</v>
      </c>
      <c r="M219" s="121" t="s">
        <v>413</v>
      </c>
      <c r="N219" s="205"/>
    </row>
    <row r="220" spans="2:14" x14ac:dyDescent="0.2">
      <c r="B220" s="572">
        <v>45566</v>
      </c>
      <c r="C220" s="99">
        <v>45567</v>
      </c>
      <c r="D220" s="12" t="s">
        <v>148</v>
      </c>
      <c r="E220" s="9">
        <v>45566</v>
      </c>
      <c r="F220" s="12" t="s">
        <v>89</v>
      </c>
      <c r="G220" s="13">
        <v>0</v>
      </c>
      <c r="H220" s="13">
        <f t="shared" ref="H220" si="97">IF(F220="Can",G220*0.65,0)</f>
        <v>0</v>
      </c>
      <c r="I220" s="13">
        <f t="shared" ref="I220" si="98">IF(F220="Selim",G220*0.35,0)</f>
        <v>0</v>
      </c>
      <c r="J220" s="227">
        <f>81200/Table2[[#This Row],[Kur]]</f>
        <v>2370.2448210922789</v>
      </c>
      <c r="K220" s="121">
        <f t="shared" si="95"/>
        <v>0</v>
      </c>
      <c r="L220" s="129">
        <f t="shared" si="96"/>
        <v>829.58568738229758</v>
      </c>
      <c r="M220" s="121" t="s">
        <v>413</v>
      </c>
      <c r="N220" s="205">
        <f>(81200+25000)/3100</f>
        <v>34.258064516129032</v>
      </c>
    </row>
    <row r="221" spans="2:14" ht="16" customHeight="1" x14ac:dyDescent="0.2">
      <c r="B221" s="573"/>
      <c r="C221" s="99">
        <v>45579</v>
      </c>
      <c r="D221" s="12" t="s">
        <v>246</v>
      </c>
      <c r="E221" s="9">
        <v>45566</v>
      </c>
      <c r="F221" s="12" t="s">
        <v>89</v>
      </c>
      <c r="G221" s="13"/>
      <c r="H221" s="13"/>
      <c r="I221" s="13"/>
      <c r="J221" s="227">
        <v>6000</v>
      </c>
      <c r="K221" s="121">
        <f>IF(F221="Can",J221*0.65,0)</f>
        <v>0</v>
      </c>
      <c r="L221" s="129">
        <f>IF(F221="Selim",J221*0.35,0)</f>
        <v>2100</v>
      </c>
      <c r="M221" s="121" t="s">
        <v>413</v>
      </c>
      <c r="N221" s="205">
        <v>32.246299999999998</v>
      </c>
    </row>
    <row r="222" spans="2:14" x14ac:dyDescent="0.2">
      <c r="B222" s="573"/>
      <c r="C222" s="99">
        <v>45585</v>
      </c>
      <c r="D222" s="12" t="s">
        <v>247</v>
      </c>
      <c r="E222" s="9">
        <v>45566</v>
      </c>
      <c r="F222" s="12" t="s">
        <v>90</v>
      </c>
      <c r="G222" s="13"/>
      <c r="H222" s="13"/>
      <c r="I222" s="13"/>
      <c r="J222" s="227">
        <v>135</v>
      </c>
      <c r="K222" s="121">
        <f t="shared" ref="K222:K224" si="99">IF(F222="Can",J222*0.65,0)</f>
        <v>87.75</v>
      </c>
      <c r="L222" s="129">
        <f t="shared" ref="L222:L225" si="100">IF(F222="Selim",J222*0.35,0)</f>
        <v>0</v>
      </c>
      <c r="M222" s="121" t="s">
        <v>413</v>
      </c>
      <c r="N222" s="205"/>
    </row>
    <row r="223" spans="2:14" ht="17" thickBot="1" x14ac:dyDescent="0.25">
      <c r="B223" s="574"/>
      <c r="C223" s="100">
        <v>45587</v>
      </c>
      <c r="D223" s="300" t="s">
        <v>399</v>
      </c>
      <c r="E223" s="216">
        <v>45566</v>
      </c>
      <c r="F223" s="101" t="s">
        <v>89</v>
      </c>
      <c r="G223" s="102"/>
      <c r="H223" s="102"/>
      <c r="I223" s="102"/>
      <c r="J223" s="229">
        <v>1265</v>
      </c>
      <c r="K223" s="185">
        <f t="shared" si="99"/>
        <v>0</v>
      </c>
      <c r="L223" s="186">
        <f t="shared" si="100"/>
        <v>442.75</v>
      </c>
      <c r="M223" s="121" t="s">
        <v>413</v>
      </c>
      <c r="N223" s="205">
        <f>N222</f>
        <v>0</v>
      </c>
    </row>
    <row r="224" spans="2:14" x14ac:dyDescent="0.2">
      <c r="B224" s="572">
        <v>45597</v>
      </c>
      <c r="C224" s="99">
        <v>45604</v>
      </c>
      <c r="D224" s="12" t="s">
        <v>249</v>
      </c>
      <c r="E224" s="9">
        <v>45597</v>
      </c>
      <c r="F224" s="12" t="s">
        <v>89</v>
      </c>
      <c r="G224" s="13">
        <v>0</v>
      </c>
      <c r="H224" s="13">
        <f t="shared" ref="H224" si="101">IF(F224="Can",G224*0.65,0)</f>
        <v>0</v>
      </c>
      <c r="I224" s="13">
        <f t="shared" ref="I224" si="102">IF(F224="Selim",G224*0.35,0)</f>
        <v>0</v>
      </c>
      <c r="J224" s="227">
        <f>91500/((91500+25000)/3400)</f>
        <v>2670.3862660944205</v>
      </c>
      <c r="K224" s="121">
        <f t="shared" si="99"/>
        <v>0</v>
      </c>
      <c r="L224" s="129">
        <f t="shared" si="100"/>
        <v>934.6351931330471</v>
      </c>
      <c r="M224" s="121" t="s">
        <v>413</v>
      </c>
      <c r="N224" s="205">
        <f>(81200+25000)/3100</f>
        <v>34.258064516129032</v>
      </c>
    </row>
    <row r="225" spans="2:14" x14ac:dyDescent="0.2">
      <c r="B225" s="575"/>
      <c r="C225" s="157">
        <v>45519</v>
      </c>
      <c r="D225" s="158" t="s">
        <v>250</v>
      </c>
      <c r="E225" s="239"/>
      <c r="F225" s="158" t="s">
        <v>90</v>
      </c>
      <c r="G225" s="159"/>
      <c r="H225" s="159"/>
      <c r="I225" s="159"/>
      <c r="J225" s="228">
        <v>0</v>
      </c>
      <c r="K225" s="160">
        <v>2909</v>
      </c>
      <c r="L225" s="161">
        <f t="shared" si="100"/>
        <v>0</v>
      </c>
      <c r="M225" s="121" t="s">
        <v>413</v>
      </c>
      <c r="N225" s="205"/>
    </row>
    <row r="226" spans="2:14" x14ac:dyDescent="0.2">
      <c r="B226" s="573"/>
      <c r="C226" s="306"/>
      <c r="D226" s="307" t="s">
        <v>393</v>
      </c>
      <c r="E226" s="308"/>
      <c r="F226" s="307" t="s">
        <v>96</v>
      </c>
      <c r="G226" s="309"/>
      <c r="H226" s="309"/>
      <c r="I226" s="456"/>
      <c r="J226" s="457">
        <v>0</v>
      </c>
      <c r="K226" s="458">
        <f>IF(F226="Can",J226*0.65,0)</f>
        <v>0</v>
      </c>
      <c r="L226" s="310">
        <f>IF(F226="Selim",J226*0.35,0)</f>
        <v>0</v>
      </c>
      <c r="M226" s="121" t="s">
        <v>413</v>
      </c>
      <c r="N226" s="311">
        <v>32.246299999999998</v>
      </c>
    </row>
    <row r="227" spans="2:14" x14ac:dyDescent="0.2">
      <c r="B227" s="573"/>
      <c r="C227" s="99">
        <v>45625</v>
      </c>
      <c r="D227" s="12" t="s">
        <v>248</v>
      </c>
      <c r="E227" s="9">
        <v>45597</v>
      </c>
      <c r="F227" s="12" t="s">
        <v>90</v>
      </c>
      <c r="G227" s="13"/>
      <c r="H227" s="13"/>
      <c r="I227" s="13"/>
      <c r="J227" s="227">
        <v>133</v>
      </c>
      <c r="K227" s="121">
        <f t="shared" ref="K227:K229" si="103">IF(F227="Can",J227*0.65,0)</f>
        <v>86.45</v>
      </c>
      <c r="L227" s="129">
        <f t="shared" ref="L227:L229" si="104">IF(F227="Selim",J227*0.35,0)</f>
        <v>0</v>
      </c>
      <c r="M227" s="121" t="s">
        <v>413</v>
      </c>
      <c r="N227" s="205"/>
    </row>
    <row r="228" spans="2:14" ht="17" thickBot="1" x14ac:dyDescent="0.25">
      <c r="B228" s="574"/>
      <c r="C228" s="100">
        <v>45625</v>
      </c>
      <c r="D228" s="300" t="s">
        <v>399</v>
      </c>
      <c r="E228" s="216">
        <v>45597</v>
      </c>
      <c r="F228" s="101" t="s">
        <v>89</v>
      </c>
      <c r="G228" s="102"/>
      <c r="H228" s="102"/>
      <c r="I228" s="102"/>
      <c r="J228" s="229">
        <v>1267</v>
      </c>
      <c r="K228" s="185">
        <f t="shared" si="103"/>
        <v>0</v>
      </c>
      <c r="L228" s="186">
        <f t="shared" si="104"/>
        <v>443.45</v>
      </c>
      <c r="M228" s="121" t="s">
        <v>413</v>
      </c>
      <c r="N228" s="205">
        <f>N227</f>
        <v>0</v>
      </c>
    </row>
    <row r="229" spans="2:14" ht="16" customHeight="1" x14ac:dyDescent="0.2">
      <c r="B229" s="572">
        <v>45627</v>
      </c>
      <c r="C229" s="96">
        <v>45631</v>
      </c>
      <c r="D229" s="97" t="s">
        <v>251</v>
      </c>
      <c r="E229" s="236">
        <v>45627</v>
      </c>
      <c r="F229" s="97" t="s">
        <v>89</v>
      </c>
      <c r="G229" s="98">
        <v>0</v>
      </c>
      <c r="H229" s="98">
        <f t="shared" ref="H229" si="105">IF(F229="Can",G229*0.65,0)</f>
        <v>0</v>
      </c>
      <c r="I229" s="98">
        <f t="shared" ref="I229" si="106">IF(F229="Selim",G229*0.35,0)</f>
        <v>0</v>
      </c>
      <c r="J229" s="230">
        <f>92800/((92800+25000)/3400)</f>
        <v>2678.4380305602717</v>
      </c>
      <c r="K229" s="134">
        <f t="shared" si="103"/>
        <v>0</v>
      </c>
      <c r="L229" s="135">
        <f t="shared" si="104"/>
        <v>937.45331069609506</v>
      </c>
      <c r="M229" s="121" t="s">
        <v>413</v>
      </c>
      <c r="N229" s="205">
        <f>(92800+25000)/3400</f>
        <v>34.647058823529413</v>
      </c>
    </row>
    <row r="230" spans="2:14" x14ac:dyDescent="0.2">
      <c r="B230" s="573"/>
      <c r="C230" s="306"/>
      <c r="D230" s="307" t="s">
        <v>393</v>
      </c>
      <c r="E230" s="308"/>
      <c r="F230" s="307" t="s">
        <v>96</v>
      </c>
      <c r="G230" s="309"/>
      <c r="H230" s="309"/>
      <c r="I230" s="456"/>
      <c r="J230" s="457">
        <v>0</v>
      </c>
      <c r="K230" s="458">
        <v>0</v>
      </c>
      <c r="L230" s="310">
        <v>0</v>
      </c>
      <c r="M230" s="121" t="s">
        <v>412</v>
      </c>
      <c r="N230" s="311"/>
    </row>
    <row r="231" spans="2:14" x14ac:dyDescent="0.2">
      <c r="B231" s="573"/>
      <c r="C231" s="306">
        <v>45681</v>
      </c>
      <c r="D231" s="307" t="s">
        <v>248</v>
      </c>
      <c r="E231" s="308">
        <v>45627</v>
      </c>
      <c r="F231" s="307" t="s">
        <v>90</v>
      </c>
      <c r="G231" s="309"/>
      <c r="H231" s="309"/>
      <c r="I231" s="456"/>
      <c r="J231" s="457">
        <f>4600/((4600+50700)/1550)</f>
        <v>128.93309222423144</v>
      </c>
      <c r="K231" s="458">
        <f t="shared" ref="K231:K232" si="107">IF(F231="Can",J231*0.65,0)</f>
        <v>83.806509945750449</v>
      </c>
      <c r="L231" s="310">
        <f t="shared" ref="L231:L232" si="108">IF(F231="Selim",J231*0.35,0)</f>
        <v>0</v>
      </c>
      <c r="M231" s="121" t="s">
        <v>412</v>
      </c>
      <c r="N231" s="311"/>
    </row>
    <row r="232" spans="2:14" ht="17" thickBot="1" x14ac:dyDescent="0.25">
      <c r="B232" s="574"/>
      <c r="C232" s="306">
        <v>45681</v>
      </c>
      <c r="D232" s="307" t="s">
        <v>388</v>
      </c>
      <c r="E232" s="308">
        <v>45627</v>
      </c>
      <c r="F232" s="307" t="s">
        <v>89</v>
      </c>
      <c r="G232" s="309"/>
      <c r="H232" s="309"/>
      <c r="I232" s="456"/>
      <c r="J232" s="457">
        <f>50700/((4600+50700)/1550)</f>
        <v>1421.0669077757684</v>
      </c>
      <c r="K232" s="458">
        <f t="shared" si="107"/>
        <v>0</v>
      </c>
      <c r="L232" s="310">
        <f t="shared" si="108"/>
        <v>497.37341772151893</v>
      </c>
      <c r="M232" s="121" t="s">
        <v>412</v>
      </c>
      <c r="N232" s="311"/>
    </row>
    <row r="233" spans="2:14" ht="16" customHeight="1" thickBot="1" x14ac:dyDescent="0.25">
      <c r="B233" s="572">
        <v>45658</v>
      </c>
      <c r="C233" s="306">
        <v>45664</v>
      </c>
      <c r="D233" s="307" t="s">
        <v>251</v>
      </c>
      <c r="E233" s="308">
        <v>45664</v>
      </c>
      <c r="F233" s="307" t="s">
        <v>89</v>
      </c>
      <c r="G233" s="309">
        <v>0</v>
      </c>
      <c r="H233" s="309">
        <f t="shared" ref="H233" si="109">IF(F233="Can",G233*0.65,0)</f>
        <v>0</v>
      </c>
      <c r="I233" s="456">
        <f t="shared" ref="I233" si="110">IF(F233="Selim",G233*0.35,0)</f>
        <v>0</v>
      </c>
      <c r="J233" s="457">
        <f>95000/((95000+25000)/3400)</f>
        <v>2691.6666666666665</v>
      </c>
      <c r="K233" s="458">
        <f t="shared" ref="K233" si="111">IF(F233="Can",J233*0.65,0)</f>
        <v>0</v>
      </c>
      <c r="L233" s="310">
        <f t="shared" ref="L233" si="112">IF(F233="Selim",J233*0.35,0)</f>
        <v>942.08333333333326</v>
      </c>
      <c r="M233" s="121" t="s">
        <v>413</v>
      </c>
      <c r="N233" s="205">
        <f>(92800+25000)/3400</f>
        <v>34.647058823529413</v>
      </c>
    </row>
    <row r="234" spans="2:14" ht="17" thickBot="1" x14ac:dyDescent="0.25">
      <c r="B234" s="573"/>
      <c r="C234" s="356">
        <v>45672</v>
      </c>
      <c r="D234" s="357" t="s">
        <v>113</v>
      </c>
      <c r="E234" s="358"/>
      <c r="F234" s="359" t="s">
        <v>114</v>
      </c>
      <c r="G234" s="360"/>
      <c r="H234" s="360"/>
      <c r="I234" s="360"/>
      <c r="J234" s="361"/>
      <c r="K234" s="362">
        <v>0</v>
      </c>
      <c r="L234" s="363">
        <v>-2481.7600000000002</v>
      </c>
      <c r="M234" s="364" t="s">
        <v>413</v>
      </c>
      <c r="N234" s="365"/>
    </row>
    <row r="235" spans="2:14" ht="17" thickBot="1" x14ac:dyDescent="0.25">
      <c r="B235" s="573"/>
      <c r="C235" s="327">
        <v>45673</v>
      </c>
      <c r="D235" s="328" t="s">
        <v>252</v>
      </c>
      <c r="E235" s="329"/>
      <c r="F235" s="330" t="s">
        <v>114</v>
      </c>
      <c r="G235" s="331"/>
      <c r="H235" s="331"/>
      <c r="I235" s="331"/>
      <c r="J235" s="332"/>
      <c r="K235" s="333">
        <v>0</v>
      </c>
      <c r="L235" s="334">
        <v>780</v>
      </c>
      <c r="M235" s="121" t="s">
        <v>413</v>
      </c>
      <c r="N235" s="205"/>
    </row>
    <row r="236" spans="2:14" ht="17" thickBot="1" x14ac:dyDescent="0.25">
      <c r="B236" s="573"/>
      <c r="C236" s="327">
        <v>45673</v>
      </c>
      <c r="D236" s="328" t="s">
        <v>253</v>
      </c>
      <c r="E236" s="329"/>
      <c r="F236" s="330" t="s">
        <v>114</v>
      </c>
      <c r="G236" s="331"/>
      <c r="H236" s="331"/>
      <c r="I236" s="331"/>
      <c r="J236" s="335"/>
      <c r="K236" s="336">
        <v>0</v>
      </c>
      <c r="L236" s="337">
        <v>-780</v>
      </c>
      <c r="M236" s="121" t="s">
        <v>413</v>
      </c>
      <c r="N236" s="205"/>
    </row>
    <row r="237" spans="2:14" x14ac:dyDescent="0.2">
      <c r="B237" s="573"/>
      <c r="C237" s="306">
        <v>45686</v>
      </c>
      <c r="D237" s="307" t="s">
        <v>389</v>
      </c>
      <c r="E237" s="308">
        <f>Table2[[#This Row],[Islem Tarihi]]</f>
        <v>45686</v>
      </c>
      <c r="F237" s="307" t="s">
        <v>89</v>
      </c>
      <c r="G237" s="309"/>
      <c r="H237" s="309"/>
      <c r="I237" s="456"/>
      <c r="J237" s="457">
        <v>5100</v>
      </c>
      <c r="K237" s="458">
        <f t="shared" ref="K237:K360" si="113">IF(F237="Can",J237*0.65,0)</f>
        <v>0</v>
      </c>
      <c r="L237" s="310">
        <f t="shared" ref="L237:L360" si="114">IF(F237="Selim",J237*0.35,0)</f>
        <v>1785</v>
      </c>
      <c r="M237" s="121" t="s">
        <v>412</v>
      </c>
      <c r="N237" s="205"/>
    </row>
    <row r="238" spans="2:14" x14ac:dyDescent="0.2">
      <c r="B238" s="573"/>
      <c r="C238" s="306">
        <v>45709</v>
      </c>
      <c r="D238" s="307" t="s">
        <v>248</v>
      </c>
      <c r="E238" s="308">
        <v>45658</v>
      </c>
      <c r="F238" s="307" t="s">
        <v>90</v>
      </c>
      <c r="G238" s="309"/>
      <c r="H238" s="309"/>
      <c r="I238" s="456"/>
      <c r="J238" s="457">
        <v>192</v>
      </c>
      <c r="K238" s="458">
        <f t="shared" si="113"/>
        <v>124.80000000000001</v>
      </c>
      <c r="L238" s="310">
        <f t="shared" si="114"/>
        <v>0</v>
      </c>
      <c r="M238" s="121" t="s">
        <v>412</v>
      </c>
      <c r="N238" s="205"/>
    </row>
    <row r="239" spans="2:14" ht="17" thickBot="1" x14ac:dyDescent="0.25">
      <c r="B239" s="573"/>
      <c r="C239" s="306">
        <v>45712</v>
      </c>
      <c r="D239" s="307" t="s">
        <v>388</v>
      </c>
      <c r="E239" s="308">
        <v>45658</v>
      </c>
      <c r="F239" s="307" t="s">
        <v>89</v>
      </c>
      <c r="G239" s="309"/>
      <c r="H239" s="309"/>
      <c r="I239" s="456"/>
      <c r="J239" s="457">
        <v>1358</v>
      </c>
      <c r="K239" s="458">
        <f t="shared" si="113"/>
        <v>0</v>
      </c>
      <c r="L239" s="310">
        <f t="shared" si="114"/>
        <v>475.29999999999995</v>
      </c>
      <c r="M239" s="121" t="s">
        <v>412</v>
      </c>
      <c r="N239" s="205"/>
    </row>
    <row r="240" spans="2:14" ht="16" customHeight="1" x14ac:dyDescent="0.2">
      <c r="B240" s="572">
        <v>45689</v>
      </c>
      <c r="C240" s="306">
        <v>45694</v>
      </c>
      <c r="D240" s="307" t="s">
        <v>251</v>
      </c>
      <c r="E240" s="308">
        <f>Table2[[#This Row],[Islem Tarihi]]</f>
        <v>45694</v>
      </c>
      <c r="F240" s="307" t="s">
        <v>89</v>
      </c>
      <c r="G240" s="309">
        <v>0</v>
      </c>
      <c r="H240" s="309">
        <f t="shared" ref="H240" si="115">IF(F240="Can",G240*0.65,0)</f>
        <v>0</v>
      </c>
      <c r="I240" s="456">
        <f t="shared" ref="I240" si="116">IF(F240="Selim",G240*0.35,0)</f>
        <v>0</v>
      </c>
      <c r="J240" s="457">
        <f>97500/((97500+25000)/3400)</f>
        <v>2706.1224489795918</v>
      </c>
      <c r="K240" s="458">
        <f t="shared" ref="K240" si="117">IF(F240="Can",J240*0.65,0)</f>
        <v>0</v>
      </c>
      <c r="L240" s="310">
        <f t="shared" ref="L240" si="118">IF(F240="Selim",J240*0.35,0)</f>
        <v>947.14285714285711</v>
      </c>
      <c r="M240" s="121" t="s">
        <v>412</v>
      </c>
      <c r="N240" s="205"/>
    </row>
    <row r="241" spans="2:14" ht="16" customHeight="1" x14ac:dyDescent="0.2">
      <c r="B241" s="575"/>
      <c r="C241" s="338">
        <v>45695</v>
      </c>
      <c r="D241" s="339" t="s">
        <v>394</v>
      </c>
      <c r="E241" s="340"/>
      <c r="F241" s="341" t="s">
        <v>114</v>
      </c>
      <c r="G241" s="342"/>
      <c r="H241" s="342"/>
      <c r="I241" s="342"/>
      <c r="J241" s="343"/>
      <c r="K241" s="521"/>
      <c r="L241" s="344">
        <v>1245.47</v>
      </c>
      <c r="M241" s="325"/>
      <c r="N241" s="305"/>
    </row>
    <row r="242" spans="2:14" x14ac:dyDescent="0.2">
      <c r="B242" s="575"/>
      <c r="C242" s="306"/>
      <c r="D242" s="307" t="s">
        <v>400</v>
      </c>
      <c r="E242" s="308">
        <v>45689</v>
      </c>
      <c r="F242" s="307" t="s">
        <v>96</v>
      </c>
      <c r="G242" s="309"/>
      <c r="H242" s="309"/>
      <c r="I242" s="456"/>
      <c r="J242" s="457">
        <v>0</v>
      </c>
      <c r="K242" s="458">
        <f t="shared" ref="K242:K243" si="119">IF(F242="Can",J242*0.65,0)</f>
        <v>0</v>
      </c>
      <c r="L242" s="310">
        <f t="shared" ref="L242:L243" si="120">IF(F242="Selim",J242*0.35,0)</f>
        <v>0</v>
      </c>
      <c r="M242" s="121" t="s">
        <v>412</v>
      </c>
      <c r="N242" s="205"/>
    </row>
    <row r="243" spans="2:14" x14ac:dyDescent="0.2">
      <c r="B243" s="575"/>
      <c r="C243" s="306">
        <v>45754</v>
      </c>
      <c r="D243" s="307" t="s">
        <v>248</v>
      </c>
      <c r="E243" s="308">
        <v>45689</v>
      </c>
      <c r="F243" s="307" t="s">
        <v>90</v>
      </c>
      <c r="G243" s="309"/>
      <c r="H243" s="309"/>
      <c r="I243" s="456"/>
      <c r="J243" s="457">
        <v>183</v>
      </c>
      <c r="K243" s="458">
        <f t="shared" si="119"/>
        <v>118.95</v>
      </c>
      <c r="L243" s="310">
        <f t="shared" si="120"/>
        <v>0</v>
      </c>
      <c r="M243" s="121" t="s">
        <v>412</v>
      </c>
      <c r="N243" s="205"/>
    </row>
    <row r="244" spans="2:14" ht="16" customHeight="1" thickBot="1" x14ac:dyDescent="0.25">
      <c r="B244" s="576"/>
      <c r="C244" s="306">
        <v>45754</v>
      </c>
      <c r="D244" s="307" t="s">
        <v>388</v>
      </c>
      <c r="E244" s="308">
        <v>45689</v>
      </c>
      <c r="F244" s="307" t="s">
        <v>89</v>
      </c>
      <c r="G244" s="309"/>
      <c r="H244" s="309"/>
      <c r="I244" s="456"/>
      <c r="J244" s="457">
        <v>1367</v>
      </c>
      <c r="K244" s="458">
        <f t="shared" si="113"/>
        <v>0</v>
      </c>
      <c r="L244" s="310">
        <f t="shared" si="114"/>
        <v>478.45</v>
      </c>
      <c r="M244" s="121" t="s">
        <v>412</v>
      </c>
      <c r="N244" s="205"/>
    </row>
    <row r="245" spans="2:14" x14ac:dyDescent="0.2">
      <c r="B245" s="572">
        <v>45717</v>
      </c>
      <c r="C245" s="306">
        <v>45723</v>
      </c>
      <c r="D245" s="307" t="s">
        <v>251</v>
      </c>
      <c r="E245" s="308">
        <f>Table2[[#This Row],[Islem Tarihi]]</f>
        <v>45723</v>
      </c>
      <c r="F245" s="307" t="s">
        <v>89</v>
      </c>
      <c r="G245" s="309">
        <v>0</v>
      </c>
      <c r="H245" s="309">
        <f t="shared" ref="H245" si="121">IF(F245="Can",G245*0.65,0)</f>
        <v>0</v>
      </c>
      <c r="I245" s="456">
        <f t="shared" ref="I245" si="122">IF(F245="Selim",G245*0.35,0)</f>
        <v>0</v>
      </c>
      <c r="J245" s="457">
        <f>99100/((99100+25000)/3400)</f>
        <v>2715.0684931506848</v>
      </c>
      <c r="K245" s="458">
        <f t="shared" si="113"/>
        <v>0</v>
      </c>
      <c r="L245" s="310">
        <f t="shared" si="114"/>
        <v>950.2739726027396</v>
      </c>
      <c r="M245" s="121" t="s">
        <v>412</v>
      </c>
      <c r="N245" s="205"/>
    </row>
    <row r="246" spans="2:14" x14ac:dyDescent="0.2">
      <c r="B246" s="575"/>
      <c r="C246" s="306">
        <v>45755</v>
      </c>
      <c r="D246" s="307" t="s">
        <v>401</v>
      </c>
      <c r="E246" s="308">
        <f>Table2[[#This Row],[Islem Tarihi]]</f>
        <v>45755</v>
      </c>
      <c r="F246" s="307" t="s">
        <v>89</v>
      </c>
      <c r="G246" s="309"/>
      <c r="H246" s="309"/>
      <c r="I246" s="456"/>
      <c r="J246" s="457">
        <v>3300</v>
      </c>
      <c r="K246" s="458">
        <f t="shared" si="113"/>
        <v>0</v>
      </c>
      <c r="L246" s="310">
        <f t="shared" si="114"/>
        <v>1155</v>
      </c>
      <c r="M246" s="121" t="s">
        <v>412</v>
      </c>
      <c r="N246" s="301"/>
    </row>
    <row r="247" spans="2:14" x14ac:dyDescent="0.2">
      <c r="B247" s="575"/>
      <c r="C247" s="306">
        <v>45774</v>
      </c>
      <c r="D247" s="307" t="s">
        <v>395</v>
      </c>
      <c r="E247" s="308">
        <v>45658</v>
      </c>
      <c r="F247" s="307" t="s">
        <v>90</v>
      </c>
      <c r="G247" s="309"/>
      <c r="H247" s="309"/>
      <c r="I247" s="456"/>
      <c r="J247" s="457">
        <v>185</v>
      </c>
      <c r="K247" s="458">
        <f t="shared" ref="K247:K248" si="123">IF(F247="Can",J247*0.65,0)</f>
        <v>120.25</v>
      </c>
      <c r="L247" s="310">
        <f t="shared" ref="L247:L248" si="124">IF(F247="Selim",J247*0.35,0)</f>
        <v>0</v>
      </c>
      <c r="M247" s="121" t="s">
        <v>412</v>
      </c>
      <c r="N247" s="205"/>
    </row>
    <row r="248" spans="2:14" ht="16" customHeight="1" thickBot="1" x14ac:dyDescent="0.25">
      <c r="B248" s="576"/>
      <c r="C248" s="306">
        <v>45775</v>
      </c>
      <c r="D248" s="307" t="s">
        <v>396</v>
      </c>
      <c r="E248" s="308">
        <v>45658</v>
      </c>
      <c r="F248" s="307" t="s">
        <v>89</v>
      </c>
      <c r="G248" s="309"/>
      <c r="H248" s="309"/>
      <c r="I248" s="456"/>
      <c r="J248" s="457">
        <v>1365</v>
      </c>
      <c r="K248" s="458">
        <f t="shared" si="123"/>
        <v>0</v>
      </c>
      <c r="L248" s="310">
        <f t="shared" si="124"/>
        <v>477.74999999999994</v>
      </c>
      <c r="M248" s="121" t="s">
        <v>412</v>
      </c>
      <c r="N248" s="205"/>
    </row>
    <row r="249" spans="2:14" x14ac:dyDescent="0.2">
      <c r="B249" s="572">
        <v>45748</v>
      </c>
      <c r="C249" s="306">
        <v>45758</v>
      </c>
      <c r="D249" s="307" t="s">
        <v>251</v>
      </c>
      <c r="E249" s="308">
        <f>Table2[[#This Row],[Islem Tarihi]]</f>
        <v>45758</v>
      </c>
      <c r="F249" s="307" t="s">
        <v>89</v>
      </c>
      <c r="G249" s="309"/>
      <c r="H249" s="309"/>
      <c r="I249" s="456"/>
      <c r="J249" s="457">
        <f>104400/((104400+25000)/3400)</f>
        <v>2743.1221020092735</v>
      </c>
      <c r="K249" s="458">
        <f t="shared" si="113"/>
        <v>0</v>
      </c>
      <c r="L249" s="310">
        <f t="shared" si="114"/>
        <v>960.09273570324569</v>
      </c>
      <c r="M249" s="121" t="s">
        <v>412</v>
      </c>
      <c r="N249" s="205"/>
    </row>
    <row r="250" spans="2:14" x14ac:dyDescent="0.2">
      <c r="B250" s="573"/>
      <c r="C250" s="99"/>
      <c r="D250" s="12" t="s">
        <v>414</v>
      </c>
      <c r="E250" s="308">
        <v>45748</v>
      </c>
      <c r="F250" s="12" t="s">
        <v>96</v>
      </c>
      <c r="G250" s="13"/>
      <c r="H250" s="13"/>
      <c r="I250" s="13"/>
      <c r="J250" s="227">
        <v>0</v>
      </c>
      <c r="K250" s="121">
        <f t="shared" si="113"/>
        <v>0</v>
      </c>
      <c r="L250" s="129">
        <f t="shared" si="114"/>
        <v>0</v>
      </c>
      <c r="M250" s="121" t="s">
        <v>437</v>
      </c>
      <c r="N250" s="301"/>
    </row>
    <row r="251" spans="2:14" x14ac:dyDescent="0.2">
      <c r="B251" s="573"/>
      <c r="C251" s="99">
        <v>45828</v>
      </c>
      <c r="D251" s="312" t="s">
        <v>395</v>
      </c>
      <c r="E251" s="308">
        <v>45748</v>
      </c>
      <c r="F251" s="312" t="s">
        <v>90</v>
      </c>
      <c r="G251" s="312"/>
      <c r="H251" s="312"/>
      <c r="I251" s="510"/>
      <c r="J251" s="529">
        <v>177.5</v>
      </c>
      <c r="K251" s="522">
        <f t="shared" si="113"/>
        <v>115.375</v>
      </c>
      <c r="L251" s="312">
        <f t="shared" si="114"/>
        <v>0</v>
      </c>
      <c r="M251" s="121" t="s">
        <v>412</v>
      </c>
      <c r="N251" s="313"/>
    </row>
    <row r="252" spans="2:14" ht="17" thickBot="1" x14ac:dyDescent="0.25">
      <c r="B252" s="574"/>
      <c r="C252" s="100"/>
      <c r="D252" s="101" t="s">
        <v>419</v>
      </c>
      <c r="E252" s="216">
        <v>45748</v>
      </c>
      <c r="F252" s="101" t="s">
        <v>96</v>
      </c>
      <c r="G252" s="102"/>
      <c r="H252" s="102"/>
      <c r="I252" s="102"/>
      <c r="J252" s="229">
        <v>0</v>
      </c>
      <c r="K252" s="185">
        <f t="shared" si="113"/>
        <v>0</v>
      </c>
      <c r="L252" s="186">
        <f t="shared" si="114"/>
        <v>0</v>
      </c>
      <c r="M252" s="121" t="s">
        <v>437</v>
      </c>
      <c r="N252" s="301"/>
    </row>
    <row r="253" spans="2:14" ht="16" customHeight="1" x14ac:dyDescent="0.2">
      <c r="B253" s="572">
        <v>45778</v>
      </c>
      <c r="C253" s="306">
        <v>45789</v>
      </c>
      <c r="D253" s="307" t="s">
        <v>251</v>
      </c>
      <c r="E253" s="308">
        <f>Table2[[#This Row],[Islem Tarihi]]</f>
        <v>45789</v>
      </c>
      <c r="F253" s="307" t="s">
        <v>89</v>
      </c>
      <c r="G253" s="309"/>
      <c r="H253" s="309"/>
      <c r="I253" s="456"/>
      <c r="J253" s="457">
        <f>106900/((106900+25000)/3400)</f>
        <v>2755.5724033358601</v>
      </c>
      <c r="K253" s="458">
        <f t="shared" ref="K253:K256" si="125">IF(F253="Can",J253*0.65,0)</f>
        <v>0</v>
      </c>
      <c r="L253" s="310">
        <f t="shared" ref="L253:L256" si="126">IF(F253="Selim",J253*0.35,0)</f>
        <v>964.45034116755096</v>
      </c>
      <c r="M253" s="121" t="s">
        <v>412</v>
      </c>
      <c r="N253" s="205"/>
    </row>
    <row r="254" spans="2:14" x14ac:dyDescent="0.2">
      <c r="B254" s="575"/>
      <c r="C254" s="99"/>
      <c r="D254" s="12" t="s">
        <v>414</v>
      </c>
      <c r="E254" s="9">
        <v>45778</v>
      </c>
      <c r="F254" s="12" t="s">
        <v>96</v>
      </c>
      <c r="G254" s="13"/>
      <c r="H254" s="13"/>
      <c r="I254" s="13"/>
      <c r="J254" s="227">
        <v>0</v>
      </c>
      <c r="K254" s="121">
        <f t="shared" si="125"/>
        <v>0</v>
      </c>
      <c r="L254" s="129">
        <f t="shared" si="126"/>
        <v>0</v>
      </c>
      <c r="M254" s="121" t="s">
        <v>437</v>
      </c>
      <c r="N254" s="301"/>
    </row>
    <row r="255" spans="2:14" x14ac:dyDescent="0.2">
      <c r="B255" s="575"/>
      <c r="C255" s="99">
        <v>45828</v>
      </c>
      <c r="D255" s="12" t="s">
        <v>395</v>
      </c>
      <c r="E255" s="9">
        <v>45778</v>
      </c>
      <c r="F255" s="12" t="s">
        <v>90</v>
      </c>
      <c r="G255" s="13"/>
      <c r="H255" s="13"/>
      <c r="I255" s="13"/>
      <c r="J255" s="529">
        <v>177.5</v>
      </c>
      <c r="K255" s="121">
        <f t="shared" si="125"/>
        <v>115.375</v>
      </c>
      <c r="L255" s="129">
        <f t="shared" si="126"/>
        <v>0</v>
      </c>
      <c r="M255" s="121" t="s">
        <v>417</v>
      </c>
      <c r="N255" s="301"/>
    </row>
    <row r="256" spans="2:14" ht="17" thickBot="1" x14ac:dyDescent="0.25">
      <c r="B256" s="575"/>
      <c r="C256" s="100">
        <v>45833</v>
      </c>
      <c r="D256" s="101" t="s">
        <v>420</v>
      </c>
      <c r="E256" s="216">
        <v>45778</v>
      </c>
      <c r="F256" s="101" t="s">
        <v>89</v>
      </c>
      <c r="G256" s="102"/>
      <c r="H256" s="102"/>
      <c r="I256" s="102"/>
      <c r="J256" s="229">
        <v>2745</v>
      </c>
      <c r="K256" s="185">
        <f t="shared" si="125"/>
        <v>0</v>
      </c>
      <c r="L256" s="186">
        <f t="shared" si="126"/>
        <v>960.74999999999989</v>
      </c>
      <c r="M256" s="121" t="s">
        <v>437</v>
      </c>
      <c r="N256" s="301"/>
    </row>
    <row r="257" spans="2:14" ht="17" thickBot="1" x14ac:dyDescent="0.25">
      <c r="B257" s="576"/>
      <c r="C257" s="319">
        <v>45807</v>
      </c>
      <c r="D257" s="320" t="s">
        <v>404</v>
      </c>
      <c r="E257" s="321"/>
      <c r="F257" s="322" t="s">
        <v>114</v>
      </c>
      <c r="G257" s="323"/>
      <c r="H257" s="323"/>
      <c r="I257" s="323"/>
      <c r="J257" s="324">
        <v>0</v>
      </c>
      <c r="K257" s="325">
        <v>4160</v>
      </c>
      <c r="L257" s="326">
        <v>0</v>
      </c>
      <c r="M257" s="121" t="s">
        <v>412</v>
      </c>
      <c r="N257" s="301"/>
    </row>
    <row r="258" spans="2:14" x14ac:dyDescent="0.2">
      <c r="B258" s="572">
        <v>45809</v>
      </c>
      <c r="C258" s="314">
        <v>45819</v>
      </c>
      <c r="D258" s="315" t="s">
        <v>251</v>
      </c>
      <c r="E258" s="316">
        <f>Table2[[#This Row],[Islem Tarihi]]</f>
        <v>45819</v>
      </c>
      <c r="F258" s="315" t="s">
        <v>89</v>
      </c>
      <c r="G258" s="317"/>
      <c r="H258" s="317"/>
      <c r="I258" s="450"/>
      <c r="J258" s="451">
        <f>108500/((108500+25000)/3400)</f>
        <v>2763.2958801498125</v>
      </c>
      <c r="K258" s="452">
        <f t="shared" ref="K258:K276" si="127">IF(F258="Can",J258*0.65,0)</f>
        <v>0</v>
      </c>
      <c r="L258" s="318">
        <f t="shared" ref="L258:L276" si="128">IF(F258="Selim",J258*0.35,0)</f>
        <v>967.15355805243428</v>
      </c>
      <c r="M258" s="121" t="s">
        <v>412</v>
      </c>
      <c r="N258" s="205"/>
    </row>
    <row r="259" spans="2:14" x14ac:dyDescent="0.2">
      <c r="B259" s="573"/>
      <c r="C259" s="99">
        <v>45833</v>
      </c>
      <c r="D259" s="12" t="s">
        <v>403</v>
      </c>
      <c r="E259" s="9">
        <v>45809</v>
      </c>
      <c r="F259" s="12" t="s">
        <v>89</v>
      </c>
      <c r="G259" s="13"/>
      <c r="H259" s="13"/>
      <c r="I259" s="13"/>
      <c r="J259" s="227">
        <v>4950</v>
      </c>
      <c r="K259" s="121">
        <f t="shared" si="127"/>
        <v>0</v>
      </c>
      <c r="L259" s="129">
        <f t="shared" si="128"/>
        <v>1732.5</v>
      </c>
      <c r="M259" s="121" t="s">
        <v>437</v>
      </c>
      <c r="N259" s="301"/>
    </row>
    <row r="260" spans="2:14" x14ac:dyDescent="0.2">
      <c r="B260" s="573"/>
      <c r="C260" s="338">
        <v>45831</v>
      </c>
      <c r="D260" s="339" t="s">
        <v>405</v>
      </c>
      <c r="E260" s="340"/>
      <c r="F260" s="341" t="s">
        <v>114</v>
      </c>
      <c r="G260" s="342"/>
      <c r="H260" s="342"/>
      <c r="I260" s="342"/>
      <c r="J260" s="343"/>
      <c r="K260" s="521">
        <v>6375</v>
      </c>
      <c r="L260" s="344"/>
      <c r="M260" s="121" t="s">
        <v>412</v>
      </c>
      <c r="N260" s="301"/>
    </row>
    <row r="261" spans="2:14" x14ac:dyDescent="0.2">
      <c r="B261" s="573"/>
      <c r="C261" s="367">
        <v>45831</v>
      </c>
      <c r="D261" s="368" t="s">
        <v>407</v>
      </c>
      <c r="E261" s="369"/>
      <c r="F261" s="370" t="s">
        <v>114</v>
      </c>
      <c r="G261" s="371"/>
      <c r="H261" s="371"/>
      <c r="I261" s="371"/>
      <c r="J261" s="372">
        <v>0</v>
      </c>
      <c r="K261" s="523"/>
      <c r="L261" s="373">
        <v>-2644</v>
      </c>
      <c r="M261" s="121" t="s">
        <v>412</v>
      </c>
      <c r="N261" s="205"/>
    </row>
    <row r="262" spans="2:14" x14ac:dyDescent="0.2">
      <c r="B262" s="573"/>
      <c r="C262" s="338">
        <v>45831</v>
      </c>
      <c r="D262" s="339" t="s">
        <v>408</v>
      </c>
      <c r="E262" s="340"/>
      <c r="F262" s="341" t="s">
        <v>114</v>
      </c>
      <c r="G262" s="342"/>
      <c r="H262" s="342"/>
      <c r="I262" s="342"/>
      <c r="J262" s="343">
        <v>0</v>
      </c>
      <c r="K262" s="521"/>
      <c r="L262" s="344">
        <f>14600+75000/39.7</f>
        <v>16489.168765743074</v>
      </c>
      <c r="M262" s="121" t="s">
        <v>412</v>
      </c>
      <c r="N262" s="205"/>
    </row>
    <row r="263" spans="2:14" x14ac:dyDescent="0.2">
      <c r="B263" s="573"/>
      <c r="C263" s="338">
        <v>45831</v>
      </c>
      <c r="D263" s="339" t="s">
        <v>409</v>
      </c>
      <c r="E263" s="340"/>
      <c r="F263" s="341" t="s">
        <v>114</v>
      </c>
      <c r="G263" s="342"/>
      <c r="H263" s="342"/>
      <c r="I263" s="342"/>
      <c r="J263" s="343">
        <v>0</v>
      </c>
      <c r="K263" s="521">
        <f>8516/39.7</f>
        <v>214.50881612090677</v>
      </c>
      <c r="L263" s="344"/>
      <c r="M263" s="121" t="s">
        <v>412</v>
      </c>
      <c r="N263" s="205"/>
    </row>
    <row r="264" spans="2:14" x14ac:dyDescent="0.2">
      <c r="B264" s="573"/>
      <c r="C264" s="338">
        <v>45831</v>
      </c>
      <c r="D264" s="339" t="s">
        <v>406</v>
      </c>
      <c r="E264" s="340"/>
      <c r="F264" s="341" t="s">
        <v>114</v>
      </c>
      <c r="G264" s="342"/>
      <c r="H264" s="342"/>
      <c r="I264" s="342"/>
      <c r="J264" s="343">
        <v>0</v>
      </c>
      <c r="K264" s="521"/>
      <c r="L264" s="344">
        <f>-(14600+75000/39.7)</f>
        <v>-16489.168765743074</v>
      </c>
      <c r="M264" s="121" t="s">
        <v>412</v>
      </c>
      <c r="N264" s="205"/>
    </row>
    <row r="265" spans="2:14" x14ac:dyDescent="0.2">
      <c r="B265" s="573"/>
      <c r="C265" s="348">
        <v>45831</v>
      </c>
      <c r="D265" s="349" t="s">
        <v>410</v>
      </c>
      <c r="E265" s="350"/>
      <c r="F265" s="341" t="s">
        <v>114</v>
      </c>
      <c r="G265" s="351"/>
      <c r="H265" s="351"/>
      <c r="I265" s="351"/>
      <c r="J265" s="352">
        <v>0</v>
      </c>
      <c r="K265" s="524">
        <f>-8516/39.7</f>
        <v>-214.50881612090677</v>
      </c>
      <c r="L265" s="353"/>
      <c r="M265" s="121" t="s">
        <v>412</v>
      </c>
      <c r="N265" s="301"/>
    </row>
    <row r="266" spans="2:14" x14ac:dyDescent="0.2">
      <c r="B266" s="573"/>
      <c r="C266" s="348">
        <v>45835</v>
      </c>
      <c r="D266" s="349" t="s">
        <v>418</v>
      </c>
      <c r="E266" s="350"/>
      <c r="F266" s="341" t="s">
        <v>114</v>
      </c>
      <c r="G266" s="53"/>
      <c r="H266" s="53"/>
      <c r="I266" s="53"/>
      <c r="J266" s="352">
        <v>0</v>
      </c>
      <c r="K266" s="524">
        <f>- 115.38</f>
        <v>-115.38</v>
      </c>
      <c r="L266" s="353"/>
      <c r="M266" s="121" t="s">
        <v>421</v>
      </c>
      <c r="N266" s="301"/>
    </row>
    <row r="267" spans="2:14" x14ac:dyDescent="0.2">
      <c r="B267" s="573"/>
      <c r="C267" s="99">
        <v>45898</v>
      </c>
      <c r="D267" s="12" t="s">
        <v>395</v>
      </c>
      <c r="E267" s="9"/>
      <c r="F267" s="12" t="s">
        <v>90</v>
      </c>
      <c r="G267" s="13"/>
      <c r="H267" s="13"/>
      <c r="I267" s="13"/>
      <c r="J267" s="227">
        <v>171</v>
      </c>
      <c r="K267" s="121">
        <f t="shared" si="127"/>
        <v>111.15</v>
      </c>
      <c r="L267" s="129">
        <f t="shared" si="128"/>
        <v>0</v>
      </c>
      <c r="M267" s="121" t="s">
        <v>437</v>
      </c>
      <c r="N267" s="301"/>
    </row>
    <row r="268" spans="2:14" ht="17" thickBot="1" x14ac:dyDescent="0.25">
      <c r="B268" s="574"/>
      <c r="C268" s="99">
        <v>45898</v>
      </c>
      <c r="D268" s="12" t="s">
        <v>396</v>
      </c>
      <c r="E268" s="9">
        <v>45898</v>
      </c>
      <c r="F268" s="12" t="s">
        <v>89</v>
      </c>
      <c r="G268" s="13"/>
      <c r="H268" s="13"/>
      <c r="I268" s="13"/>
      <c r="J268" s="227">
        <v>1379</v>
      </c>
      <c r="K268" s="121">
        <f t="shared" si="127"/>
        <v>0</v>
      </c>
      <c r="L268" s="129">
        <f t="shared" si="128"/>
        <v>482.65</v>
      </c>
      <c r="M268" s="121" t="s">
        <v>437</v>
      </c>
      <c r="N268" s="301"/>
    </row>
    <row r="269" spans="2:14" ht="16" customHeight="1" x14ac:dyDescent="0.2">
      <c r="B269" s="586">
        <v>45839</v>
      </c>
      <c r="C269" s="314">
        <v>45846</v>
      </c>
      <c r="D269" s="315" t="s">
        <v>251</v>
      </c>
      <c r="E269" s="316">
        <v>45839</v>
      </c>
      <c r="F269" s="448" t="s">
        <v>89</v>
      </c>
      <c r="G269" s="449"/>
      <c r="H269" s="317"/>
      <c r="I269" s="450"/>
      <c r="J269" s="451">
        <f>111200/((111200+25000)/3400)</f>
        <v>2775.9177679882523</v>
      </c>
      <c r="K269" s="452">
        <f t="shared" ref="K269" si="129">IF(F269="Can",J269*0.65,0)</f>
        <v>0</v>
      </c>
      <c r="L269" s="318">
        <f t="shared" ref="L269" si="130">IF(F269="Selim",J269*0.35,0)</f>
        <v>971.57121879588829</v>
      </c>
      <c r="M269" s="121" t="s">
        <v>437</v>
      </c>
      <c r="N269" s="311"/>
    </row>
    <row r="270" spans="2:14" x14ac:dyDescent="0.2">
      <c r="B270" s="587"/>
      <c r="C270" s="453"/>
      <c r="D270" s="12" t="s">
        <v>423</v>
      </c>
      <c r="E270" s="308">
        <v>45839</v>
      </c>
      <c r="F270" s="454" t="s">
        <v>96</v>
      </c>
      <c r="G270" s="455"/>
      <c r="H270" s="309"/>
      <c r="I270" s="456"/>
      <c r="J270" s="457">
        <v>0</v>
      </c>
      <c r="K270" s="458">
        <f t="shared" si="127"/>
        <v>0</v>
      </c>
      <c r="L270" s="459">
        <f t="shared" si="128"/>
        <v>0</v>
      </c>
      <c r="M270" s="121" t="s">
        <v>437</v>
      </c>
      <c r="N270" s="311"/>
    </row>
    <row r="271" spans="2:14" x14ac:dyDescent="0.2">
      <c r="B271" s="587"/>
      <c r="C271" s="453">
        <v>45916</v>
      </c>
      <c r="D271" s="307" t="s">
        <v>395</v>
      </c>
      <c r="E271" s="308">
        <v>45839</v>
      </c>
      <c r="F271" s="460" t="s">
        <v>90</v>
      </c>
      <c r="G271" s="13"/>
      <c r="H271" s="13"/>
      <c r="I271" s="13"/>
      <c r="J271" s="227">
        <v>170</v>
      </c>
      <c r="K271" s="458">
        <f t="shared" si="127"/>
        <v>110.5</v>
      </c>
      <c r="L271" s="459">
        <f t="shared" si="128"/>
        <v>0</v>
      </c>
      <c r="M271" s="121" t="s">
        <v>437</v>
      </c>
      <c r="N271" s="311"/>
    </row>
    <row r="272" spans="2:14" ht="17" thickBot="1" x14ac:dyDescent="0.25">
      <c r="B272" s="588"/>
      <c r="C272" s="461">
        <v>45916</v>
      </c>
      <c r="D272" s="462" t="s">
        <v>396</v>
      </c>
      <c r="E272" s="463">
        <v>45839</v>
      </c>
      <c r="F272" s="464" t="s">
        <v>89</v>
      </c>
      <c r="G272" s="13"/>
      <c r="H272" s="13"/>
      <c r="I272" s="13"/>
      <c r="J272" s="229">
        <v>1380</v>
      </c>
      <c r="K272" s="465">
        <f t="shared" si="127"/>
        <v>0</v>
      </c>
      <c r="L272" s="466">
        <f t="shared" si="128"/>
        <v>482.99999999999994</v>
      </c>
      <c r="M272" s="121" t="s">
        <v>437</v>
      </c>
      <c r="N272" s="311"/>
    </row>
    <row r="273" spans="2:14" ht="16" customHeight="1" x14ac:dyDescent="0.2">
      <c r="B273" s="586">
        <v>45870</v>
      </c>
      <c r="C273" s="314">
        <v>45875</v>
      </c>
      <c r="D273" s="315" t="s">
        <v>251</v>
      </c>
      <c r="E273" s="316">
        <f>Table2[[#This Row],[Islem Tarihi]]</f>
        <v>45875</v>
      </c>
      <c r="F273" s="448" t="s">
        <v>89</v>
      </c>
      <c r="G273" s="449"/>
      <c r="H273" s="317"/>
      <c r="I273" s="450"/>
      <c r="J273" s="451">
        <f>113300/((113300+25000)/3400)</f>
        <v>2785.3940708604482</v>
      </c>
      <c r="K273" s="452">
        <f t="shared" si="127"/>
        <v>0</v>
      </c>
      <c r="L273" s="318">
        <f t="shared" si="128"/>
        <v>974.88792480115683</v>
      </c>
      <c r="M273" s="121" t="s">
        <v>437</v>
      </c>
      <c r="N273" s="311"/>
    </row>
    <row r="274" spans="2:14" x14ac:dyDescent="0.2">
      <c r="B274" s="587"/>
      <c r="C274" s="453"/>
      <c r="D274" s="12" t="s">
        <v>423</v>
      </c>
      <c r="E274" s="308">
        <v>45870</v>
      </c>
      <c r="F274" s="454" t="s">
        <v>96</v>
      </c>
      <c r="G274" s="455"/>
      <c r="H274" s="309"/>
      <c r="I274" s="456"/>
      <c r="J274" s="457">
        <v>0</v>
      </c>
      <c r="K274" s="458">
        <f t="shared" si="127"/>
        <v>0</v>
      </c>
      <c r="L274" s="459">
        <f t="shared" si="128"/>
        <v>0</v>
      </c>
      <c r="M274" s="121" t="s">
        <v>437</v>
      </c>
      <c r="N274" s="311"/>
    </row>
    <row r="275" spans="2:14" x14ac:dyDescent="0.2">
      <c r="B275" s="587"/>
      <c r="C275" s="453">
        <v>45985</v>
      </c>
      <c r="D275" s="307" t="s">
        <v>395</v>
      </c>
      <c r="E275" s="308">
        <v>45870</v>
      </c>
      <c r="F275" s="460" t="s">
        <v>90</v>
      </c>
      <c r="G275" s="13"/>
      <c r="H275" s="13"/>
      <c r="I275" s="13"/>
      <c r="J275" s="227">
        <v>166</v>
      </c>
      <c r="K275" s="458">
        <f t="shared" si="127"/>
        <v>107.9</v>
      </c>
      <c r="L275" s="459">
        <f t="shared" si="128"/>
        <v>0</v>
      </c>
      <c r="M275" s="121" t="s">
        <v>437</v>
      </c>
      <c r="N275" s="311"/>
    </row>
    <row r="276" spans="2:14" ht="17" thickBot="1" x14ac:dyDescent="0.25">
      <c r="B276" s="588"/>
      <c r="C276" s="461">
        <v>45985</v>
      </c>
      <c r="D276" s="462" t="s">
        <v>396</v>
      </c>
      <c r="E276" s="463">
        <v>45870</v>
      </c>
      <c r="F276" s="464" t="s">
        <v>89</v>
      </c>
      <c r="G276" s="13"/>
      <c r="H276" s="13"/>
      <c r="I276" s="13"/>
      <c r="J276" s="229">
        <v>1384</v>
      </c>
      <c r="K276" s="465">
        <f t="shared" si="127"/>
        <v>0</v>
      </c>
      <c r="L276" s="466">
        <f t="shared" si="128"/>
        <v>484.4</v>
      </c>
      <c r="M276" s="121" t="s">
        <v>437</v>
      </c>
      <c r="N276" s="311"/>
    </row>
    <row r="277" spans="2:14" ht="16" customHeight="1" x14ac:dyDescent="0.2">
      <c r="B277" s="572">
        <v>45901</v>
      </c>
      <c r="C277" s="467">
        <v>45908</v>
      </c>
      <c r="D277" s="468" t="s">
        <v>251</v>
      </c>
      <c r="E277" s="469">
        <f>Table2[[#This Row],[Islem Tarihi]]</f>
        <v>45908</v>
      </c>
      <c r="F277" s="468" t="s">
        <v>89</v>
      </c>
      <c r="G277" s="470"/>
      <c r="H277" s="470"/>
      <c r="I277" s="511"/>
      <c r="J277" s="530">
        <f>115250/((115250+25000)/3400)</f>
        <v>2793.939393939394</v>
      </c>
      <c r="K277" s="525">
        <f t="shared" ref="K277:K292" si="131">IF(F277="Can",J277*0.65,0)</f>
        <v>0</v>
      </c>
      <c r="L277" s="471">
        <f t="shared" ref="L277:L293" si="132">IF(F277="Selim",J277*0.35,0)</f>
        <v>977.87878787878788</v>
      </c>
      <c r="M277" s="121" t="s">
        <v>437</v>
      </c>
      <c r="N277" s="311"/>
    </row>
    <row r="278" spans="2:14" x14ac:dyDescent="0.2">
      <c r="B278" s="573"/>
      <c r="C278" s="453">
        <v>45945</v>
      </c>
      <c r="D278" s="12" t="s">
        <v>403</v>
      </c>
      <c r="E278" s="308">
        <v>45901</v>
      </c>
      <c r="F278" s="12" t="s">
        <v>89</v>
      </c>
      <c r="G278" s="13"/>
      <c r="H278" s="13"/>
      <c r="I278" s="13"/>
      <c r="J278" s="227">
        <v>4950</v>
      </c>
      <c r="K278" s="458">
        <f t="shared" si="131"/>
        <v>0</v>
      </c>
      <c r="L278" s="459">
        <f t="shared" si="132"/>
        <v>1732.5</v>
      </c>
      <c r="M278" s="121" t="s">
        <v>437</v>
      </c>
      <c r="N278" s="311"/>
    </row>
    <row r="279" spans="2:14" x14ac:dyDescent="0.2">
      <c r="B279" s="573"/>
      <c r="C279" s="453">
        <v>46010</v>
      </c>
      <c r="D279" s="307" t="s">
        <v>395</v>
      </c>
      <c r="E279" s="308">
        <v>45901</v>
      </c>
      <c r="F279" s="307" t="s">
        <v>90</v>
      </c>
      <c r="G279" s="309"/>
      <c r="H279" s="309"/>
      <c r="I279" s="456"/>
      <c r="J279" s="457">
        <v>164</v>
      </c>
      <c r="K279" s="458">
        <f t="shared" si="131"/>
        <v>106.60000000000001</v>
      </c>
      <c r="L279" s="459">
        <f t="shared" si="132"/>
        <v>0</v>
      </c>
      <c r="M279" s="121" t="s">
        <v>437</v>
      </c>
      <c r="N279" s="311"/>
    </row>
    <row r="280" spans="2:14" ht="17" thickBot="1" x14ac:dyDescent="0.25">
      <c r="B280" s="574"/>
      <c r="C280" s="461">
        <v>46010</v>
      </c>
      <c r="D280" s="462" t="s">
        <v>429</v>
      </c>
      <c r="E280" s="463">
        <v>45901</v>
      </c>
      <c r="F280" s="462" t="s">
        <v>89</v>
      </c>
      <c r="G280" s="472"/>
      <c r="H280" s="472"/>
      <c r="I280" s="512"/>
      <c r="J280" s="531">
        <v>0</v>
      </c>
      <c r="K280" s="465">
        <f t="shared" si="131"/>
        <v>0</v>
      </c>
      <c r="L280" s="466">
        <f t="shared" si="132"/>
        <v>0</v>
      </c>
      <c r="M280" s="121" t="s">
        <v>437</v>
      </c>
      <c r="N280" s="311"/>
    </row>
    <row r="281" spans="2:14" x14ac:dyDescent="0.2">
      <c r="B281" s="572">
        <v>45931</v>
      </c>
      <c r="C281" s="314">
        <v>45940</v>
      </c>
      <c r="D281" s="315" t="s">
        <v>251</v>
      </c>
      <c r="E281" s="316">
        <f>Table2[[#This Row],[Islem Tarihi]]</f>
        <v>45940</v>
      </c>
      <c r="F281" s="315" t="s">
        <v>89</v>
      </c>
      <c r="G281" s="317"/>
      <c r="H281" s="317"/>
      <c r="I281" s="450"/>
      <c r="J281" s="451">
        <f>117300/((117300+25000)/3400)</f>
        <v>2802.6704146170064</v>
      </c>
      <c r="K281" s="452">
        <f t="shared" si="131"/>
        <v>0</v>
      </c>
      <c r="L281" s="318">
        <f t="shared" si="132"/>
        <v>980.93464511595221</v>
      </c>
      <c r="M281" s="121" t="s">
        <v>437</v>
      </c>
      <c r="N281" s="311"/>
    </row>
    <row r="282" spans="2:14" x14ac:dyDescent="0.2">
      <c r="B282" s="573"/>
      <c r="C282" s="453"/>
      <c r="D282" s="307" t="s">
        <v>431</v>
      </c>
      <c r="E282" s="308"/>
      <c r="F282" s="307"/>
      <c r="G282" s="309"/>
      <c r="H282" s="309"/>
      <c r="I282" s="456"/>
      <c r="J282" s="457"/>
      <c r="K282" s="458">
        <f t="shared" si="131"/>
        <v>0</v>
      </c>
      <c r="L282" s="459">
        <f t="shared" si="132"/>
        <v>0</v>
      </c>
      <c r="M282" s="121" t="s">
        <v>437</v>
      </c>
      <c r="N282" s="311"/>
    </row>
    <row r="283" spans="2:14" x14ac:dyDescent="0.2">
      <c r="B283" s="573"/>
      <c r="C283" s="453">
        <v>46010</v>
      </c>
      <c r="D283" s="307" t="s">
        <v>395</v>
      </c>
      <c r="E283" s="308">
        <v>45931</v>
      </c>
      <c r="F283" s="307" t="s">
        <v>90</v>
      </c>
      <c r="G283" s="309"/>
      <c r="H283" s="309"/>
      <c r="I283" s="456"/>
      <c r="J283" s="457">
        <v>164</v>
      </c>
      <c r="K283" s="458">
        <f t="shared" si="131"/>
        <v>106.60000000000001</v>
      </c>
      <c r="L283" s="459">
        <f t="shared" si="132"/>
        <v>0</v>
      </c>
      <c r="M283" s="121" t="s">
        <v>437</v>
      </c>
      <c r="N283" s="311"/>
    </row>
    <row r="284" spans="2:14" ht="17" thickBot="1" x14ac:dyDescent="0.25">
      <c r="B284" s="574"/>
      <c r="C284" s="461">
        <v>46010</v>
      </c>
      <c r="D284" s="462" t="s">
        <v>396</v>
      </c>
      <c r="E284" s="463">
        <v>45931</v>
      </c>
      <c r="F284" s="462" t="s">
        <v>89</v>
      </c>
      <c r="G284" s="472"/>
      <c r="H284" s="472"/>
      <c r="I284" s="512"/>
      <c r="J284" s="531">
        <f>1386*2</f>
        <v>2772</v>
      </c>
      <c r="K284" s="465">
        <f t="shared" si="131"/>
        <v>0</v>
      </c>
      <c r="L284" s="466">
        <f t="shared" si="132"/>
        <v>970.19999999999993</v>
      </c>
      <c r="M284" s="121" t="s">
        <v>437</v>
      </c>
      <c r="N284" s="311"/>
    </row>
    <row r="285" spans="2:14" x14ac:dyDescent="0.2">
      <c r="B285" s="572">
        <v>45962</v>
      </c>
      <c r="C285" s="314">
        <v>45974</v>
      </c>
      <c r="D285" s="315" t="s">
        <v>428</v>
      </c>
      <c r="E285" s="316">
        <f>Table2[[#This Row],[Islem Tarihi]]</f>
        <v>45974</v>
      </c>
      <c r="F285" s="315" t="s">
        <v>89</v>
      </c>
      <c r="G285" s="317"/>
      <c r="H285" s="317"/>
      <c r="I285" s="450"/>
      <c r="J285" s="451">
        <f>123600/(158200/3740)</f>
        <v>2922.0227560050571</v>
      </c>
      <c r="K285" s="452">
        <f t="shared" si="131"/>
        <v>0</v>
      </c>
      <c r="L285" s="318">
        <f t="shared" si="132"/>
        <v>1022.70796460177</v>
      </c>
      <c r="M285" s="121" t="s">
        <v>437</v>
      </c>
      <c r="N285" s="311"/>
    </row>
    <row r="286" spans="2:14" x14ac:dyDescent="0.2">
      <c r="B286" s="573"/>
      <c r="C286" s="453"/>
      <c r="D286" s="307" t="s">
        <v>431</v>
      </c>
      <c r="E286" s="308"/>
      <c r="F286" s="307"/>
      <c r="G286" s="309"/>
      <c r="H286" s="309"/>
      <c r="I286" s="456"/>
      <c r="J286" s="457"/>
      <c r="K286" s="458">
        <f t="shared" si="131"/>
        <v>0</v>
      </c>
      <c r="L286" s="459">
        <f t="shared" si="132"/>
        <v>0</v>
      </c>
      <c r="M286" s="121" t="s">
        <v>437</v>
      </c>
      <c r="N286" s="311"/>
    </row>
    <row r="287" spans="2:14" x14ac:dyDescent="0.2">
      <c r="B287" s="573"/>
      <c r="C287" s="474">
        <v>46035</v>
      </c>
      <c r="D287" s="475" t="s">
        <v>395</v>
      </c>
      <c r="E287" s="476"/>
      <c r="F287" s="475" t="s">
        <v>90</v>
      </c>
      <c r="G287" s="477"/>
      <c r="H287" s="477"/>
      <c r="I287" s="513"/>
      <c r="J287" s="532">
        <f>1700-J288</f>
        <v>225</v>
      </c>
      <c r="K287" s="479">
        <f t="shared" si="131"/>
        <v>146.25</v>
      </c>
      <c r="L287" s="478">
        <f t="shared" si="132"/>
        <v>0</v>
      </c>
      <c r="M287" s="479" t="s">
        <v>447</v>
      </c>
      <c r="N287" s="480"/>
    </row>
    <row r="288" spans="2:14" ht="17" thickBot="1" x14ac:dyDescent="0.25">
      <c r="B288" s="574"/>
      <c r="C288" s="481">
        <v>46035</v>
      </c>
      <c r="D288" s="482" t="s">
        <v>396</v>
      </c>
      <c r="E288" s="483"/>
      <c r="F288" s="482" t="s">
        <v>89</v>
      </c>
      <c r="G288" s="484"/>
      <c r="H288" s="484"/>
      <c r="I288" s="514"/>
      <c r="J288" s="533">
        <v>1475</v>
      </c>
      <c r="K288" s="526">
        <f t="shared" si="131"/>
        <v>0</v>
      </c>
      <c r="L288" s="485">
        <f t="shared" si="132"/>
        <v>516.25</v>
      </c>
      <c r="M288" s="479" t="s">
        <v>447</v>
      </c>
      <c r="N288" s="480"/>
    </row>
    <row r="289" spans="2:16" x14ac:dyDescent="0.2">
      <c r="B289" s="572">
        <v>45992</v>
      </c>
      <c r="C289" s="314">
        <v>46006</v>
      </c>
      <c r="D289" s="315" t="s">
        <v>428</v>
      </c>
      <c r="E289" s="316">
        <f>Table2[[#This Row],[Islem Tarihi]]</f>
        <v>46006</v>
      </c>
      <c r="F289" s="315" t="s">
        <v>89</v>
      </c>
      <c r="G289" s="317"/>
      <c r="H289" s="317"/>
      <c r="I289" s="450"/>
      <c r="J289" s="451">
        <f>130000/(160000/3740)</f>
        <v>3038.75</v>
      </c>
      <c r="K289" s="452">
        <f t="shared" si="131"/>
        <v>0</v>
      </c>
      <c r="L289" s="318">
        <f t="shared" si="132"/>
        <v>1063.5625</v>
      </c>
      <c r="M289" s="121" t="s">
        <v>437</v>
      </c>
      <c r="N289" s="311"/>
    </row>
    <row r="290" spans="2:16" x14ac:dyDescent="0.2">
      <c r="B290" s="573"/>
      <c r="C290" s="453">
        <v>46021</v>
      </c>
      <c r="D290" s="307" t="s">
        <v>403</v>
      </c>
      <c r="E290" s="308"/>
      <c r="F290" s="307" t="s">
        <v>89</v>
      </c>
      <c r="G290" s="309"/>
      <c r="H290" s="309"/>
      <c r="I290" s="456"/>
      <c r="J290" s="457">
        <v>4650</v>
      </c>
      <c r="K290" s="458">
        <f t="shared" si="131"/>
        <v>0</v>
      </c>
      <c r="L290" s="459">
        <f t="shared" si="132"/>
        <v>1627.5</v>
      </c>
      <c r="M290" s="121" t="s">
        <v>437</v>
      </c>
      <c r="N290" s="311"/>
    </row>
    <row r="291" spans="2:16" x14ac:dyDescent="0.2">
      <c r="B291" s="573"/>
      <c r="C291" s="440">
        <v>46030</v>
      </c>
      <c r="D291" s="441" t="s">
        <v>436</v>
      </c>
      <c r="E291" s="442"/>
      <c r="F291" s="441"/>
      <c r="G291" s="443"/>
      <c r="H291" s="443"/>
      <c r="I291" s="515"/>
      <c r="J291" s="444"/>
      <c r="K291" s="527"/>
      <c r="L291" s="445">
        <v>-13922.31</v>
      </c>
      <c r="M291" s="446"/>
      <c r="N291" s="447"/>
    </row>
    <row r="292" spans="2:16" x14ac:dyDescent="0.2">
      <c r="B292" s="573"/>
      <c r="C292" s="474">
        <v>46075</v>
      </c>
      <c r="D292" s="475" t="s">
        <v>395</v>
      </c>
      <c r="E292" s="476"/>
      <c r="F292" s="475" t="s">
        <v>90</v>
      </c>
      <c r="G292" s="477"/>
      <c r="H292" s="477"/>
      <c r="I292" s="513"/>
      <c r="J292" s="532">
        <f>1700-J293</f>
        <v>225</v>
      </c>
      <c r="K292" s="479">
        <f t="shared" si="131"/>
        <v>146.25</v>
      </c>
      <c r="L292" s="478">
        <f t="shared" si="132"/>
        <v>0</v>
      </c>
      <c r="M292" s="479" t="s">
        <v>447</v>
      </c>
      <c r="N292" s="480"/>
    </row>
    <row r="293" spans="2:16" ht="17" thickBot="1" x14ac:dyDescent="0.25">
      <c r="B293" s="574"/>
      <c r="C293" s="481">
        <v>46076</v>
      </c>
      <c r="D293" s="482" t="s">
        <v>396</v>
      </c>
      <c r="E293" s="483"/>
      <c r="F293" s="482" t="s">
        <v>89</v>
      </c>
      <c r="G293" s="484"/>
      <c r="H293" s="484"/>
      <c r="I293" s="514"/>
      <c r="J293" s="533">
        <v>1475</v>
      </c>
      <c r="K293" s="526">
        <f>IF(F293="Can",J293*0.65,0)</f>
        <v>0</v>
      </c>
      <c r="L293" s="485">
        <f t="shared" si="132"/>
        <v>516.25</v>
      </c>
      <c r="M293" s="479" t="s">
        <v>447</v>
      </c>
      <c r="N293" s="480"/>
    </row>
    <row r="294" spans="2:16" x14ac:dyDescent="0.2">
      <c r="B294" s="572">
        <v>46023</v>
      </c>
      <c r="C294" s="503">
        <v>46055</v>
      </c>
      <c r="D294" s="504" t="s">
        <v>452</v>
      </c>
      <c r="E294" s="505">
        <v>46023</v>
      </c>
      <c r="F294" s="506" t="s">
        <v>449</v>
      </c>
      <c r="G294" s="507"/>
      <c r="H294" s="507"/>
      <c r="I294" s="516"/>
      <c r="J294" s="250">
        <v>909.35</v>
      </c>
      <c r="K294" s="508">
        <f>IF(F294="Can",J294*0.65,IF(F294="Maas+SGK",J294,0))</f>
        <v>909.35</v>
      </c>
      <c r="L294" s="509">
        <f t="shared" ref="L294:L300" si="133">IF(F294="Selim",J294*0.35,0)</f>
        <v>0</v>
      </c>
      <c r="M294" s="479" t="s">
        <v>447</v>
      </c>
      <c r="N294" s="480"/>
    </row>
    <row r="295" spans="2:16" s="541" customFormat="1" x14ac:dyDescent="0.2">
      <c r="B295" s="575"/>
      <c r="C295" s="542">
        <v>46045</v>
      </c>
      <c r="D295" s="543" t="s">
        <v>451</v>
      </c>
      <c r="E295" s="544"/>
      <c r="F295" s="18"/>
      <c r="G295" s="545"/>
      <c r="H295" s="546"/>
      <c r="I295" s="547"/>
      <c r="J295" s="224"/>
      <c r="K295" s="508"/>
      <c r="L295" s="548">
        <v>3700</v>
      </c>
      <c r="M295" s="479" t="s">
        <v>447</v>
      </c>
      <c r="N295" s="480"/>
      <c r="O295" s="540"/>
      <c r="P295" s="540"/>
    </row>
    <row r="296" spans="2:16" s="541" customFormat="1" x14ac:dyDescent="0.2">
      <c r="B296" s="575"/>
      <c r="C296" s="542">
        <v>46064</v>
      </c>
      <c r="D296" s="543" t="s">
        <v>450</v>
      </c>
      <c r="E296" s="544"/>
      <c r="F296" s="18"/>
      <c r="G296" s="545"/>
      <c r="H296" s="546"/>
      <c r="I296" s="547"/>
      <c r="J296" s="224"/>
      <c r="K296" s="508">
        <f>1000/43.5633</f>
        <v>22.955102115771762</v>
      </c>
      <c r="L296" s="548"/>
      <c r="M296" s="479" t="s">
        <v>447</v>
      </c>
      <c r="N296" s="480"/>
      <c r="O296" s="540"/>
      <c r="P296" s="540"/>
    </row>
    <row r="297" spans="2:16" x14ac:dyDescent="0.2">
      <c r="B297" s="575"/>
      <c r="C297" s="542">
        <v>46062</v>
      </c>
      <c r="D297" s="543" t="s">
        <v>428</v>
      </c>
      <c r="E297" s="544">
        <v>46023</v>
      </c>
      <c r="F297" s="18" t="s">
        <v>89</v>
      </c>
      <c r="G297" s="545"/>
      <c r="H297" s="546"/>
      <c r="I297" s="547"/>
      <c r="J297" s="224">
        <f>133600/(163600/3740)</f>
        <v>3054.1809290953547</v>
      </c>
      <c r="K297" s="508">
        <f t="shared" ref="K297" si="134">IF(F297="Can",J297*0.65,IF(F297="Maas+SGK",J297,0))</f>
        <v>0</v>
      </c>
      <c r="L297" s="549">
        <f t="shared" ref="L297" si="135">IF(F297="Selim",J297*0.35,0)</f>
        <v>1068.9633251833741</v>
      </c>
      <c r="M297" s="479" t="s">
        <v>447</v>
      </c>
      <c r="N297" s="480"/>
    </row>
    <row r="298" spans="2:16" x14ac:dyDescent="0.2">
      <c r="B298" s="573"/>
      <c r="C298" s="474"/>
      <c r="D298" s="475" t="s">
        <v>454</v>
      </c>
      <c r="E298" s="476"/>
      <c r="F298" s="543"/>
      <c r="G298" s="477"/>
      <c r="H298" s="477"/>
      <c r="I298" s="513"/>
      <c r="J298" s="570">
        <v>0</v>
      </c>
      <c r="K298" s="508">
        <f t="shared" ref="K298:K305" si="136">IF(F298="Can",J298*0.65,IF(F298="Maas+SGK",J298,0))</f>
        <v>0</v>
      </c>
      <c r="L298" s="549">
        <f t="shared" si="133"/>
        <v>0</v>
      </c>
      <c r="M298" s="479" t="s">
        <v>447</v>
      </c>
      <c r="N298" s="480"/>
    </row>
    <row r="299" spans="2:16" x14ac:dyDescent="0.2">
      <c r="B299" s="573"/>
      <c r="C299" s="551"/>
      <c r="D299" s="552" t="s">
        <v>395</v>
      </c>
      <c r="E299" s="553"/>
      <c r="F299" s="552"/>
      <c r="G299" s="554"/>
      <c r="H299" s="554"/>
      <c r="I299" s="555"/>
      <c r="J299" s="558"/>
      <c r="K299" s="213">
        <f t="shared" si="136"/>
        <v>0</v>
      </c>
      <c r="L299" s="556">
        <f t="shared" si="133"/>
        <v>0</v>
      </c>
      <c r="M299" s="559"/>
      <c r="N299" s="557"/>
    </row>
    <row r="300" spans="2:16" ht="17" thickBot="1" x14ac:dyDescent="0.25">
      <c r="B300" s="574"/>
      <c r="C300" s="560"/>
      <c r="D300" s="561" t="s">
        <v>396</v>
      </c>
      <c r="E300" s="562"/>
      <c r="F300" s="561"/>
      <c r="G300" s="563"/>
      <c r="H300" s="563"/>
      <c r="I300" s="564"/>
      <c r="J300" s="565"/>
      <c r="K300" s="566">
        <f t="shared" si="136"/>
        <v>0</v>
      </c>
      <c r="L300" s="567">
        <f t="shared" si="133"/>
        <v>0</v>
      </c>
      <c r="M300" s="559"/>
      <c r="N300" s="557"/>
    </row>
    <row r="301" spans="2:16" x14ac:dyDescent="0.2">
      <c r="B301" s="572">
        <v>46054</v>
      </c>
      <c r="C301" s="503">
        <v>46084</v>
      </c>
      <c r="D301" s="504" t="s">
        <v>448</v>
      </c>
      <c r="E301" s="505"/>
      <c r="F301" s="504" t="s">
        <v>449</v>
      </c>
      <c r="G301" s="507"/>
      <c r="H301" s="507"/>
      <c r="I301" s="516"/>
      <c r="J301" s="250">
        <f>+(28075+11500)/43.9</f>
        <v>901.48063781321184</v>
      </c>
      <c r="K301" s="508">
        <f>IF(F301="Can",J301*0.65,IF(F301="Maas+SGK",J301,0))</f>
        <v>901.48063781321184</v>
      </c>
      <c r="L301" s="550">
        <f t="shared" ref="L301:L307" si="137">IF(F301="Selim",J301*0.35,0)</f>
        <v>0</v>
      </c>
      <c r="M301" s="479" t="s">
        <v>447</v>
      </c>
      <c r="N301" s="480"/>
    </row>
    <row r="302" spans="2:16" x14ac:dyDescent="0.2">
      <c r="B302" s="575"/>
      <c r="C302" s="542">
        <v>46093</v>
      </c>
      <c r="D302" s="543" t="s">
        <v>432</v>
      </c>
      <c r="E302" s="571"/>
      <c r="F302" s="543" t="s">
        <v>89</v>
      </c>
      <c r="G302" s="546"/>
      <c r="H302" s="546"/>
      <c r="I302" s="547"/>
      <c r="J302" s="224">
        <f>(2000+(46800/((46800+30000)/(3740-2000))))</f>
        <v>3060.3125</v>
      </c>
      <c r="K302" s="508">
        <f t="shared" ref="K302" si="138">IF(F302="Can",J302*0.65,IF(F302="Maas+SGK",J302,0))</f>
        <v>0</v>
      </c>
      <c r="L302" s="549">
        <f t="shared" si="137"/>
        <v>1071.109375</v>
      </c>
      <c r="M302" s="479" t="s">
        <v>447</v>
      </c>
      <c r="N302" s="480"/>
    </row>
    <row r="303" spans="2:16" x14ac:dyDescent="0.2">
      <c r="B303" s="573"/>
      <c r="C303" s="474">
        <v>46059</v>
      </c>
      <c r="D303" s="475" t="s">
        <v>403</v>
      </c>
      <c r="E303" s="476"/>
      <c r="F303" s="475" t="s">
        <v>89</v>
      </c>
      <c r="G303" s="477"/>
      <c r="H303" s="477"/>
      <c r="I303" s="513"/>
      <c r="J303" s="570">
        <v>4425</v>
      </c>
      <c r="K303" s="508">
        <f t="shared" si="136"/>
        <v>0</v>
      </c>
      <c r="L303" s="478">
        <f t="shared" si="137"/>
        <v>1548.75</v>
      </c>
      <c r="M303" s="479" t="s">
        <v>447</v>
      </c>
      <c r="N303" s="480"/>
    </row>
    <row r="304" spans="2:16" x14ac:dyDescent="0.2">
      <c r="B304" s="573"/>
      <c r="C304" s="551"/>
      <c r="D304" s="552" t="s">
        <v>395</v>
      </c>
      <c r="E304" s="553"/>
      <c r="F304" s="552"/>
      <c r="G304" s="554"/>
      <c r="H304" s="554"/>
      <c r="I304" s="555"/>
      <c r="J304" s="558"/>
      <c r="K304" s="213">
        <f t="shared" si="136"/>
        <v>0</v>
      </c>
      <c r="L304" s="568">
        <f t="shared" si="137"/>
        <v>0</v>
      </c>
      <c r="M304" s="559"/>
      <c r="N304" s="557"/>
    </row>
    <row r="305" spans="2:14" ht="17" thickBot="1" x14ac:dyDescent="0.25">
      <c r="B305" s="574"/>
      <c r="C305" s="560"/>
      <c r="D305" s="561" t="s">
        <v>396</v>
      </c>
      <c r="E305" s="562"/>
      <c r="F305" s="561"/>
      <c r="G305" s="563"/>
      <c r="H305" s="563"/>
      <c r="I305" s="564"/>
      <c r="J305" s="565"/>
      <c r="K305" s="566">
        <f t="shared" si="136"/>
        <v>0</v>
      </c>
      <c r="L305" s="569">
        <f t="shared" si="137"/>
        <v>0</v>
      </c>
      <c r="M305" s="559"/>
      <c r="N305" s="557"/>
    </row>
    <row r="306" spans="2:14" x14ac:dyDescent="0.2">
      <c r="B306" s="572">
        <v>46082</v>
      </c>
      <c r="C306" s="427"/>
      <c r="D306" s="502" t="s">
        <v>448</v>
      </c>
      <c r="E306" s="429"/>
      <c r="F306" s="428" t="s">
        <v>449</v>
      </c>
      <c r="G306" s="430"/>
      <c r="H306" s="430"/>
      <c r="I306" s="520"/>
      <c r="J306" s="538"/>
      <c r="K306" s="432">
        <f>IF(F306="Can",J306*0.65,IF(F306="Maas+SGK",J306,0))</f>
        <v>0</v>
      </c>
      <c r="L306" s="492">
        <f t="shared" si="137"/>
        <v>0</v>
      </c>
      <c r="M306" s="432"/>
      <c r="N306" s="433"/>
    </row>
    <row r="307" spans="2:14" x14ac:dyDescent="0.2">
      <c r="B307" s="575"/>
      <c r="C307" s="488"/>
      <c r="D307" s="489" t="s">
        <v>432</v>
      </c>
      <c r="E307" s="490"/>
      <c r="F307" s="489"/>
      <c r="G307" s="491"/>
      <c r="H307" s="491"/>
      <c r="I307" s="501"/>
      <c r="J307" s="534"/>
      <c r="K307" s="432">
        <f t="shared" ref="K307" si="139">IF(F307="Can",J307*0.65,IF(F307="Maas+SGK",J307,0))</f>
        <v>0</v>
      </c>
      <c r="L307" s="493">
        <f t="shared" si="137"/>
        <v>0</v>
      </c>
      <c r="M307" s="355"/>
      <c r="N307" s="486"/>
    </row>
    <row r="308" spans="2:14" x14ac:dyDescent="0.2">
      <c r="B308" s="573"/>
      <c r="C308" s="434"/>
      <c r="D308" s="435" t="s">
        <v>403</v>
      </c>
      <c r="E308" s="436"/>
      <c r="F308" s="435"/>
      <c r="G308" s="437"/>
      <c r="H308" s="437"/>
      <c r="I308" s="517"/>
      <c r="J308" s="535"/>
      <c r="K308" s="432">
        <f t="shared" ref="K308:K310" si="140">IF(F308="Can",J308*0.65,IF(F308="Maas+SGK",J308,0))</f>
        <v>0</v>
      </c>
      <c r="L308" s="493">
        <f t="shared" ref="L308:L312" si="141">IF(F308="Selim",J308*0.35,0)</f>
        <v>0</v>
      </c>
      <c r="M308" s="432"/>
      <c r="N308" s="433"/>
    </row>
    <row r="309" spans="2:14" x14ac:dyDescent="0.2">
      <c r="B309" s="573"/>
      <c r="C309" s="415"/>
      <c r="D309" s="416" t="s">
        <v>395</v>
      </c>
      <c r="E309" s="417"/>
      <c r="F309" s="416"/>
      <c r="G309" s="418"/>
      <c r="H309" s="418"/>
      <c r="I309" s="518"/>
      <c r="J309" s="536"/>
      <c r="K309" s="432">
        <f t="shared" si="140"/>
        <v>0</v>
      </c>
      <c r="L309" s="494">
        <f t="shared" si="141"/>
        <v>0</v>
      </c>
      <c r="M309" s="420"/>
      <c r="N309" s="421"/>
    </row>
    <row r="310" spans="2:14" ht="17" thickBot="1" x14ac:dyDescent="0.25">
      <c r="B310" s="574"/>
      <c r="C310" s="422"/>
      <c r="D310" s="423" t="s">
        <v>396</v>
      </c>
      <c r="E310" s="424"/>
      <c r="F310" s="423"/>
      <c r="G310" s="425"/>
      <c r="H310" s="425"/>
      <c r="I310" s="519"/>
      <c r="J310" s="537"/>
      <c r="K310" s="496">
        <f t="shared" si="140"/>
        <v>0</v>
      </c>
      <c r="L310" s="495">
        <f t="shared" si="141"/>
        <v>0</v>
      </c>
      <c r="M310" s="420"/>
      <c r="N310" s="421"/>
    </row>
    <row r="311" spans="2:14" x14ac:dyDescent="0.2">
      <c r="B311" s="572">
        <v>46113</v>
      </c>
      <c r="C311" s="427"/>
      <c r="D311" s="502" t="s">
        <v>448</v>
      </c>
      <c r="E311" s="429"/>
      <c r="F311" s="428" t="s">
        <v>449</v>
      </c>
      <c r="G311" s="430"/>
      <c r="H311" s="430"/>
      <c r="I311" s="520"/>
      <c r="J311" s="538"/>
      <c r="K311" s="432">
        <f>IF(F311="Can",J311*0.65,IF(F311="Maas+SGK",J311,0))</f>
        <v>0</v>
      </c>
      <c r="L311" s="431">
        <f t="shared" si="141"/>
        <v>0</v>
      </c>
      <c r="M311" s="432"/>
      <c r="N311" s="433"/>
    </row>
    <row r="312" spans="2:14" x14ac:dyDescent="0.2">
      <c r="B312" s="575"/>
      <c r="C312" s="488"/>
      <c r="D312" s="489" t="s">
        <v>432</v>
      </c>
      <c r="E312" s="490"/>
      <c r="F312" s="489"/>
      <c r="G312" s="491"/>
      <c r="H312" s="491"/>
      <c r="I312" s="501"/>
      <c r="J312" s="534"/>
      <c r="K312" s="432">
        <f t="shared" ref="K312" si="142">IF(F312="Can",J312*0.65,IF(F312="Maas+SGK",J312,0))</f>
        <v>0</v>
      </c>
      <c r="L312" s="493">
        <f t="shared" si="141"/>
        <v>0</v>
      </c>
      <c r="M312" s="355"/>
      <c r="N312" s="486"/>
    </row>
    <row r="313" spans="2:14" x14ac:dyDescent="0.2">
      <c r="B313" s="573"/>
      <c r="C313" s="434"/>
      <c r="D313" s="435" t="s">
        <v>403</v>
      </c>
      <c r="E313" s="436"/>
      <c r="F313" s="435"/>
      <c r="G313" s="437"/>
      <c r="H313" s="437"/>
      <c r="I313" s="517"/>
      <c r="J313" s="535"/>
      <c r="K313" s="432">
        <f t="shared" ref="K313:K315" si="143">IF(F313="Can",J313*0.65,IF(F313="Maas+SGK",J313,0))</f>
        <v>0</v>
      </c>
      <c r="L313" s="438">
        <f t="shared" ref="L313:L317" si="144">IF(F313="Selim",J313*0.35,0)</f>
        <v>0</v>
      </c>
      <c r="M313" s="432"/>
      <c r="N313" s="433"/>
    </row>
    <row r="314" spans="2:14" x14ac:dyDescent="0.2">
      <c r="B314" s="573"/>
      <c r="C314" s="415"/>
      <c r="D314" s="416" t="s">
        <v>395</v>
      </c>
      <c r="E314" s="417"/>
      <c r="F314" s="416"/>
      <c r="G314" s="418"/>
      <c r="H314" s="418"/>
      <c r="I314" s="518"/>
      <c r="J314" s="536"/>
      <c r="K314" s="432">
        <f t="shared" si="143"/>
        <v>0</v>
      </c>
      <c r="L314" s="419">
        <f t="shared" si="144"/>
        <v>0</v>
      </c>
      <c r="M314" s="420"/>
      <c r="N314" s="421"/>
    </row>
    <row r="315" spans="2:14" ht="17" thickBot="1" x14ac:dyDescent="0.25">
      <c r="B315" s="574"/>
      <c r="C315" s="422"/>
      <c r="D315" s="423" t="s">
        <v>396</v>
      </c>
      <c r="E315" s="424"/>
      <c r="F315" s="423"/>
      <c r="G315" s="425"/>
      <c r="H315" s="425"/>
      <c r="I315" s="519"/>
      <c r="J315" s="537"/>
      <c r="K315" s="496">
        <f t="shared" si="143"/>
        <v>0</v>
      </c>
      <c r="L315" s="426">
        <f t="shared" si="144"/>
        <v>0</v>
      </c>
      <c r="M315" s="420"/>
      <c r="N315" s="421"/>
    </row>
    <row r="316" spans="2:14" ht="16" customHeight="1" x14ac:dyDescent="0.2">
      <c r="B316" s="572">
        <v>46143</v>
      </c>
      <c r="C316" s="427"/>
      <c r="D316" s="502" t="s">
        <v>448</v>
      </c>
      <c r="E316" s="429"/>
      <c r="F316" s="499" t="s">
        <v>449</v>
      </c>
      <c r="G316" s="430"/>
      <c r="H316" s="430"/>
      <c r="I316" s="520"/>
      <c r="J316" s="538"/>
      <c r="K316" s="432">
        <f>IF(F316="Can",J316*0.65,IF(F316="Maas+SGK",J316,0))</f>
        <v>0</v>
      </c>
      <c r="L316" s="492">
        <f t="shared" si="144"/>
        <v>0</v>
      </c>
      <c r="M316" s="432"/>
      <c r="N316" s="433"/>
    </row>
    <row r="317" spans="2:14" x14ac:dyDescent="0.2">
      <c r="B317" s="575"/>
      <c r="C317" s="488"/>
      <c r="D317" s="489" t="s">
        <v>432</v>
      </c>
      <c r="E317" s="497"/>
      <c r="F317" s="500"/>
      <c r="G317" s="498"/>
      <c r="H317" s="491"/>
      <c r="I317" s="501"/>
      <c r="J317" s="534"/>
      <c r="K317" s="432">
        <f t="shared" ref="K317" si="145">IF(F317="Can",J317*0.65,IF(F317="Maas+SGK",J317,0))</f>
        <v>0</v>
      </c>
      <c r="L317" s="493">
        <f t="shared" si="144"/>
        <v>0</v>
      </c>
      <c r="M317" s="355"/>
      <c r="N317" s="486"/>
    </row>
    <row r="318" spans="2:14" x14ac:dyDescent="0.2">
      <c r="B318" s="573"/>
      <c r="C318" s="434"/>
      <c r="D318" s="435" t="s">
        <v>403</v>
      </c>
      <c r="E318" s="436"/>
      <c r="F318" s="487"/>
      <c r="G318" s="437"/>
      <c r="H318" s="437"/>
      <c r="I318" s="517"/>
      <c r="J318" s="535"/>
      <c r="K318" s="432">
        <f t="shared" ref="K318:K320" si="146">IF(F318="Can",J318*0.65,IF(F318="Maas+SGK",J318,0))</f>
        <v>0</v>
      </c>
      <c r="L318" s="493">
        <f t="shared" ref="L318:L322" si="147">IF(F318="Selim",J318*0.35,0)</f>
        <v>0</v>
      </c>
      <c r="M318" s="432"/>
      <c r="N318" s="433"/>
    </row>
    <row r="319" spans="2:14" x14ac:dyDescent="0.2">
      <c r="B319" s="573"/>
      <c r="C319" s="415"/>
      <c r="D319" s="416" t="s">
        <v>395</v>
      </c>
      <c r="E319" s="417"/>
      <c r="F319" s="416"/>
      <c r="G319" s="418"/>
      <c r="H319" s="418"/>
      <c r="I319" s="518"/>
      <c r="J319" s="536"/>
      <c r="K319" s="432">
        <f t="shared" si="146"/>
        <v>0</v>
      </c>
      <c r="L319" s="494">
        <f t="shared" si="147"/>
        <v>0</v>
      </c>
      <c r="M319" s="420"/>
      <c r="N319" s="421"/>
    </row>
    <row r="320" spans="2:14" ht="17" thickBot="1" x14ac:dyDescent="0.25">
      <c r="B320" s="574"/>
      <c r="C320" s="422"/>
      <c r="D320" s="423" t="s">
        <v>396</v>
      </c>
      <c r="E320" s="424"/>
      <c r="F320" s="423"/>
      <c r="G320" s="425"/>
      <c r="H320" s="425"/>
      <c r="I320" s="519"/>
      <c r="J320" s="537"/>
      <c r="K320" s="496">
        <f t="shared" si="146"/>
        <v>0</v>
      </c>
      <c r="L320" s="495">
        <f t="shared" si="147"/>
        <v>0</v>
      </c>
      <c r="M320" s="420"/>
      <c r="N320" s="421"/>
    </row>
    <row r="321" spans="2:14" ht="16" customHeight="1" x14ac:dyDescent="0.2">
      <c r="B321" s="572">
        <v>46174</v>
      </c>
      <c r="C321" s="427"/>
      <c r="D321" s="502" t="s">
        <v>448</v>
      </c>
      <c r="E321" s="429"/>
      <c r="F321" s="428" t="s">
        <v>449</v>
      </c>
      <c r="G321" s="430"/>
      <c r="H321" s="430"/>
      <c r="I321" s="520"/>
      <c r="J321" s="538"/>
      <c r="K321" s="432">
        <f>IF(F321="Can",J321*0.65,IF(F321="Maas+SGK",J321,0))</f>
        <v>0</v>
      </c>
      <c r="L321" s="431">
        <f t="shared" si="147"/>
        <v>0</v>
      </c>
      <c r="M321" s="432"/>
      <c r="N321" s="433"/>
    </row>
    <row r="322" spans="2:14" x14ac:dyDescent="0.2">
      <c r="B322" s="575"/>
      <c r="C322" s="488"/>
      <c r="D322" s="489" t="s">
        <v>432</v>
      </c>
      <c r="E322" s="490"/>
      <c r="F322" s="489"/>
      <c r="G322" s="491"/>
      <c r="H322" s="491"/>
      <c r="I322" s="501"/>
      <c r="J322" s="534"/>
      <c r="K322" s="432">
        <f t="shared" ref="K322" si="148">IF(F322="Can",J322*0.65,IF(F322="Maas+SGK",J322,0))</f>
        <v>0</v>
      </c>
      <c r="L322" s="493">
        <f t="shared" si="147"/>
        <v>0</v>
      </c>
      <c r="M322" s="355"/>
      <c r="N322" s="486"/>
    </row>
    <row r="323" spans="2:14" x14ac:dyDescent="0.2">
      <c r="B323" s="573"/>
      <c r="C323" s="434"/>
      <c r="D323" s="435" t="s">
        <v>403</v>
      </c>
      <c r="E323" s="436"/>
      <c r="F323" s="435"/>
      <c r="G323" s="437"/>
      <c r="H323" s="437"/>
      <c r="I323" s="517"/>
      <c r="J323" s="535"/>
      <c r="K323" s="432">
        <f t="shared" ref="K323:K325" si="149">IF(F323="Can",J323*0.65,IF(F323="Maas+SGK",J323,0))</f>
        <v>0</v>
      </c>
      <c r="L323" s="438">
        <f t="shared" ref="L323:L327" si="150">IF(F323="Selim",J323*0.35,0)</f>
        <v>0</v>
      </c>
      <c r="M323" s="432"/>
      <c r="N323" s="433"/>
    </row>
    <row r="324" spans="2:14" x14ac:dyDescent="0.2">
      <c r="B324" s="573"/>
      <c r="C324" s="415"/>
      <c r="D324" s="416" t="s">
        <v>395</v>
      </c>
      <c r="E324" s="417"/>
      <c r="F324" s="416"/>
      <c r="G324" s="418"/>
      <c r="H324" s="418"/>
      <c r="I324" s="518"/>
      <c r="J324" s="536"/>
      <c r="K324" s="432">
        <f t="shared" si="149"/>
        <v>0</v>
      </c>
      <c r="L324" s="419">
        <f t="shared" si="150"/>
        <v>0</v>
      </c>
      <c r="M324" s="420"/>
      <c r="N324" s="421"/>
    </row>
    <row r="325" spans="2:14" ht="17" thickBot="1" x14ac:dyDescent="0.25">
      <c r="B325" s="574"/>
      <c r="C325" s="422"/>
      <c r="D325" s="423" t="s">
        <v>396</v>
      </c>
      <c r="E325" s="424"/>
      <c r="F325" s="423"/>
      <c r="G325" s="425"/>
      <c r="H325" s="425"/>
      <c r="I325" s="519"/>
      <c r="J325" s="537"/>
      <c r="K325" s="496">
        <f t="shared" si="149"/>
        <v>0</v>
      </c>
      <c r="L325" s="426">
        <f t="shared" si="150"/>
        <v>0</v>
      </c>
      <c r="M325" s="420"/>
      <c r="N325" s="421"/>
    </row>
    <row r="326" spans="2:14" ht="16" customHeight="1" x14ac:dyDescent="0.2">
      <c r="B326" s="572">
        <v>46204</v>
      </c>
      <c r="C326" s="427"/>
      <c r="D326" s="502" t="s">
        <v>448</v>
      </c>
      <c r="E326" s="429"/>
      <c r="F326" s="428" t="s">
        <v>449</v>
      </c>
      <c r="G326" s="430"/>
      <c r="H326" s="430"/>
      <c r="I326" s="520"/>
      <c r="J326" s="538"/>
      <c r="K326" s="432">
        <f>IF(F326="Can",J326*0.65,IF(F326="Maas+SGK",J326,0))</f>
        <v>0</v>
      </c>
      <c r="L326" s="492">
        <f t="shared" si="150"/>
        <v>0</v>
      </c>
      <c r="M326" s="432"/>
      <c r="N326" s="433"/>
    </row>
    <row r="327" spans="2:14" x14ac:dyDescent="0.2">
      <c r="B327" s="575"/>
      <c r="C327" s="488"/>
      <c r="D327" s="489" t="s">
        <v>432</v>
      </c>
      <c r="E327" s="490"/>
      <c r="F327" s="489"/>
      <c r="G327" s="491"/>
      <c r="H327" s="491"/>
      <c r="I327" s="501"/>
      <c r="J327" s="534"/>
      <c r="K327" s="432">
        <f t="shared" ref="K327" si="151">IF(F327="Can",J327*0.65,IF(F327="Maas+SGK",J327,0))</f>
        <v>0</v>
      </c>
      <c r="L327" s="493">
        <f t="shared" si="150"/>
        <v>0</v>
      </c>
      <c r="M327" s="355"/>
      <c r="N327" s="486"/>
    </row>
    <row r="328" spans="2:14" x14ac:dyDescent="0.2">
      <c r="B328" s="573"/>
      <c r="C328" s="434"/>
      <c r="D328" s="435" t="s">
        <v>403</v>
      </c>
      <c r="E328" s="436"/>
      <c r="F328" s="435"/>
      <c r="G328" s="437"/>
      <c r="H328" s="437"/>
      <c r="I328" s="517"/>
      <c r="J328" s="535"/>
      <c r="K328" s="432">
        <f t="shared" ref="K328:K330" si="152">IF(F328="Can",J328*0.65,IF(F328="Maas+SGK",J328,0))</f>
        <v>0</v>
      </c>
      <c r="L328" s="493">
        <f t="shared" ref="L328:L332" si="153">IF(F328="Selim",J328*0.35,0)</f>
        <v>0</v>
      </c>
      <c r="M328" s="432"/>
      <c r="N328" s="433"/>
    </row>
    <row r="329" spans="2:14" x14ac:dyDescent="0.2">
      <c r="B329" s="573"/>
      <c r="C329" s="415"/>
      <c r="D329" s="416" t="s">
        <v>395</v>
      </c>
      <c r="E329" s="417"/>
      <c r="F329" s="416"/>
      <c r="G329" s="418"/>
      <c r="H329" s="418"/>
      <c r="I329" s="518"/>
      <c r="J329" s="536"/>
      <c r="K329" s="432">
        <f t="shared" si="152"/>
        <v>0</v>
      </c>
      <c r="L329" s="494">
        <f t="shared" si="153"/>
        <v>0</v>
      </c>
      <c r="M329" s="420"/>
      <c r="N329" s="421"/>
    </row>
    <row r="330" spans="2:14" ht="17" thickBot="1" x14ac:dyDescent="0.25">
      <c r="B330" s="574"/>
      <c r="C330" s="422"/>
      <c r="D330" s="423" t="s">
        <v>396</v>
      </c>
      <c r="E330" s="424"/>
      <c r="F330" s="423"/>
      <c r="G330" s="425"/>
      <c r="H330" s="425"/>
      <c r="I330" s="519"/>
      <c r="J330" s="537"/>
      <c r="K330" s="496">
        <f t="shared" si="152"/>
        <v>0</v>
      </c>
      <c r="L330" s="495">
        <f t="shared" si="153"/>
        <v>0</v>
      </c>
      <c r="M330" s="420"/>
      <c r="N330" s="421"/>
    </row>
    <row r="331" spans="2:14" ht="16" customHeight="1" x14ac:dyDescent="0.2">
      <c r="B331" s="572">
        <v>46235</v>
      </c>
      <c r="C331" s="427"/>
      <c r="D331" s="502" t="s">
        <v>448</v>
      </c>
      <c r="E331" s="429"/>
      <c r="F331" s="428" t="s">
        <v>449</v>
      </c>
      <c r="G331" s="430"/>
      <c r="H331" s="430"/>
      <c r="I331" s="520"/>
      <c r="J331" s="538"/>
      <c r="K331" s="432">
        <f>IF(F331="Can",J331*0.65,IF(F331="Maas+SGK",J331,0))</f>
        <v>0</v>
      </c>
      <c r="L331" s="431">
        <f t="shared" si="153"/>
        <v>0</v>
      </c>
      <c r="M331" s="432"/>
      <c r="N331" s="433"/>
    </row>
    <row r="332" spans="2:14" x14ac:dyDescent="0.2">
      <c r="B332" s="575"/>
      <c r="C332" s="488"/>
      <c r="D332" s="489" t="s">
        <v>432</v>
      </c>
      <c r="E332" s="490"/>
      <c r="F332" s="489"/>
      <c r="G332" s="491"/>
      <c r="H332" s="491"/>
      <c r="I332" s="501"/>
      <c r="J332" s="534"/>
      <c r="K332" s="432">
        <f t="shared" ref="K332" si="154">IF(F332="Can",J332*0.65,IF(F332="Maas+SGK",J332,0))</f>
        <v>0</v>
      </c>
      <c r="L332" s="493">
        <f t="shared" si="153"/>
        <v>0</v>
      </c>
      <c r="M332" s="355"/>
      <c r="N332" s="486"/>
    </row>
    <row r="333" spans="2:14" x14ac:dyDescent="0.2">
      <c r="B333" s="573"/>
      <c r="C333" s="434"/>
      <c r="D333" s="435" t="s">
        <v>403</v>
      </c>
      <c r="E333" s="436"/>
      <c r="F333" s="435"/>
      <c r="G333" s="437"/>
      <c r="H333" s="437"/>
      <c r="I333" s="517"/>
      <c r="J333" s="535"/>
      <c r="K333" s="432">
        <f t="shared" ref="K333:K335" si="155">IF(F333="Can",J333*0.65,IF(F333="Maas+SGK",J333,0))</f>
        <v>0</v>
      </c>
      <c r="L333" s="438">
        <f t="shared" ref="L333:L337" si="156">IF(F333="Selim",J333*0.35,0)</f>
        <v>0</v>
      </c>
      <c r="M333" s="432"/>
      <c r="N333" s="433"/>
    </row>
    <row r="334" spans="2:14" x14ac:dyDescent="0.2">
      <c r="B334" s="573"/>
      <c r="C334" s="415"/>
      <c r="D334" s="416" t="s">
        <v>395</v>
      </c>
      <c r="E334" s="417"/>
      <c r="F334" s="416"/>
      <c r="G334" s="418"/>
      <c r="H334" s="418"/>
      <c r="I334" s="518"/>
      <c r="J334" s="536"/>
      <c r="K334" s="432">
        <f t="shared" si="155"/>
        <v>0</v>
      </c>
      <c r="L334" s="419">
        <f t="shared" si="156"/>
        <v>0</v>
      </c>
      <c r="M334" s="420"/>
      <c r="N334" s="421"/>
    </row>
    <row r="335" spans="2:14" ht="17" thickBot="1" x14ac:dyDescent="0.25">
      <c r="B335" s="574"/>
      <c r="C335" s="422"/>
      <c r="D335" s="423" t="s">
        <v>396</v>
      </c>
      <c r="E335" s="424"/>
      <c r="F335" s="423"/>
      <c r="G335" s="425"/>
      <c r="H335" s="425"/>
      <c r="I335" s="519"/>
      <c r="J335" s="537"/>
      <c r="K335" s="496">
        <f t="shared" si="155"/>
        <v>0</v>
      </c>
      <c r="L335" s="426">
        <f t="shared" si="156"/>
        <v>0</v>
      </c>
      <c r="M335" s="420"/>
      <c r="N335" s="421"/>
    </row>
    <row r="336" spans="2:14" ht="16" customHeight="1" x14ac:dyDescent="0.2">
      <c r="B336" s="572">
        <v>46266</v>
      </c>
      <c r="C336" s="427"/>
      <c r="D336" s="502" t="s">
        <v>448</v>
      </c>
      <c r="E336" s="429"/>
      <c r="F336" s="499" t="s">
        <v>449</v>
      </c>
      <c r="G336" s="430"/>
      <c r="H336" s="430"/>
      <c r="I336" s="520"/>
      <c r="J336" s="538"/>
      <c r="K336" s="432">
        <f>IF(F336="Can",J336*0.65,IF(F336="Maas+SGK",J336,0))</f>
        <v>0</v>
      </c>
      <c r="L336" s="492">
        <f t="shared" si="156"/>
        <v>0</v>
      </c>
      <c r="M336" s="432"/>
      <c r="N336" s="433"/>
    </row>
    <row r="337" spans="2:14" x14ac:dyDescent="0.2">
      <c r="B337" s="575"/>
      <c r="C337" s="488"/>
      <c r="D337" s="489" t="s">
        <v>432</v>
      </c>
      <c r="E337" s="497"/>
      <c r="F337" s="500"/>
      <c r="G337" s="498"/>
      <c r="H337" s="491"/>
      <c r="I337" s="501"/>
      <c r="J337" s="534"/>
      <c r="K337" s="432">
        <f t="shared" ref="K337" si="157">IF(F337="Can",J337*0.65,IF(F337="Maas+SGK",J337,0))</f>
        <v>0</v>
      </c>
      <c r="L337" s="493">
        <f t="shared" si="156"/>
        <v>0</v>
      </c>
      <c r="M337" s="355"/>
      <c r="N337" s="486"/>
    </row>
    <row r="338" spans="2:14" x14ac:dyDescent="0.2">
      <c r="B338" s="573"/>
      <c r="C338" s="434"/>
      <c r="D338" s="435" t="s">
        <v>403</v>
      </c>
      <c r="E338" s="436"/>
      <c r="F338" s="487"/>
      <c r="G338" s="437"/>
      <c r="H338" s="437"/>
      <c r="I338" s="517"/>
      <c r="J338" s="535"/>
      <c r="K338" s="432">
        <f t="shared" ref="K338:K340" si="158">IF(F338="Can",J338*0.65,IF(F338="Maas+SGK",J338,0))</f>
        <v>0</v>
      </c>
      <c r="L338" s="493">
        <f t="shared" ref="L338:L342" si="159">IF(F338="Selim",J338*0.35,0)</f>
        <v>0</v>
      </c>
      <c r="M338" s="432"/>
      <c r="N338" s="433"/>
    </row>
    <row r="339" spans="2:14" x14ac:dyDescent="0.2">
      <c r="B339" s="573"/>
      <c r="C339" s="415"/>
      <c r="D339" s="416" t="s">
        <v>395</v>
      </c>
      <c r="E339" s="417"/>
      <c r="F339" s="416"/>
      <c r="G339" s="418"/>
      <c r="H339" s="418"/>
      <c r="I339" s="518"/>
      <c r="J339" s="536"/>
      <c r="K339" s="432">
        <f t="shared" si="158"/>
        <v>0</v>
      </c>
      <c r="L339" s="494">
        <f t="shared" si="159"/>
        <v>0</v>
      </c>
      <c r="M339" s="420"/>
      <c r="N339" s="421"/>
    </row>
    <row r="340" spans="2:14" ht="17" thickBot="1" x14ac:dyDescent="0.25">
      <c r="B340" s="574"/>
      <c r="C340" s="422"/>
      <c r="D340" s="423" t="s">
        <v>396</v>
      </c>
      <c r="E340" s="424"/>
      <c r="F340" s="423"/>
      <c r="G340" s="425"/>
      <c r="H340" s="425"/>
      <c r="I340" s="519"/>
      <c r="J340" s="537"/>
      <c r="K340" s="496">
        <f t="shared" si="158"/>
        <v>0</v>
      </c>
      <c r="L340" s="495">
        <f t="shared" si="159"/>
        <v>0</v>
      </c>
      <c r="M340" s="420"/>
      <c r="N340" s="421"/>
    </row>
    <row r="341" spans="2:14" ht="16" customHeight="1" x14ac:dyDescent="0.2">
      <c r="B341" s="572">
        <v>46296</v>
      </c>
      <c r="C341" s="427"/>
      <c r="D341" s="502" t="s">
        <v>448</v>
      </c>
      <c r="E341" s="429"/>
      <c r="F341" s="428" t="s">
        <v>449</v>
      </c>
      <c r="G341" s="430"/>
      <c r="H341" s="430"/>
      <c r="I341" s="520"/>
      <c r="J341" s="538"/>
      <c r="K341" s="432">
        <f>IF(F341="Can",J341*0.65,IF(F341="Maas+SGK",J341,0))</f>
        <v>0</v>
      </c>
      <c r="L341" s="431">
        <f t="shared" si="159"/>
        <v>0</v>
      </c>
      <c r="M341" s="432"/>
      <c r="N341" s="433"/>
    </row>
    <row r="342" spans="2:14" x14ac:dyDescent="0.2">
      <c r="B342" s="575"/>
      <c r="C342" s="488"/>
      <c r="D342" s="489" t="s">
        <v>432</v>
      </c>
      <c r="E342" s="490"/>
      <c r="F342" s="489"/>
      <c r="G342" s="491"/>
      <c r="H342" s="491"/>
      <c r="I342" s="501"/>
      <c r="J342" s="534"/>
      <c r="K342" s="432">
        <f t="shared" ref="K342" si="160">IF(F342="Can",J342*0.65,IF(F342="Maas+SGK",J342,0))</f>
        <v>0</v>
      </c>
      <c r="L342" s="493">
        <f t="shared" si="159"/>
        <v>0</v>
      </c>
      <c r="M342" s="355"/>
      <c r="N342" s="486"/>
    </row>
    <row r="343" spans="2:14" x14ac:dyDescent="0.2">
      <c r="B343" s="573"/>
      <c r="C343" s="434"/>
      <c r="D343" s="435" t="s">
        <v>403</v>
      </c>
      <c r="E343" s="436"/>
      <c r="F343" s="435"/>
      <c r="G343" s="437"/>
      <c r="H343" s="437"/>
      <c r="I343" s="517"/>
      <c r="J343" s="535"/>
      <c r="K343" s="432">
        <f t="shared" ref="K343:K345" si="161">IF(F343="Can",J343*0.65,IF(F343="Maas+SGK",J343,0))</f>
        <v>0</v>
      </c>
      <c r="L343" s="438">
        <f t="shared" ref="L343:L347" si="162">IF(F343="Selim",J343*0.35,0)</f>
        <v>0</v>
      </c>
      <c r="M343" s="432"/>
      <c r="N343" s="433"/>
    </row>
    <row r="344" spans="2:14" x14ac:dyDescent="0.2">
      <c r="B344" s="573"/>
      <c r="C344" s="415"/>
      <c r="D344" s="416" t="s">
        <v>395</v>
      </c>
      <c r="E344" s="417"/>
      <c r="F344" s="416"/>
      <c r="G344" s="418"/>
      <c r="H344" s="418"/>
      <c r="I344" s="518"/>
      <c r="J344" s="536"/>
      <c r="K344" s="432">
        <f t="shared" si="161"/>
        <v>0</v>
      </c>
      <c r="L344" s="419">
        <f t="shared" si="162"/>
        <v>0</v>
      </c>
      <c r="M344" s="420"/>
      <c r="N344" s="421"/>
    </row>
    <row r="345" spans="2:14" ht="17" thickBot="1" x14ac:dyDescent="0.25">
      <c r="B345" s="574"/>
      <c r="C345" s="422"/>
      <c r="D345" s="423" t="s">
        <v>396</v>
      </c>
      <c r="E345" s="424"/>
      <c r="F345" s="423"/>
      <c r="G345" s="425"/>
      <c r="H345" s="425"/>
      <c r="I345" s="519"/>
      <c r="J345" s="537"/>
      <c r="K345" s="496">
        <f t="shared" si="161"/>
        <v>0</v>
      </c>
      <c r="L345" s="426">
        <f t="shared" si="162"/>
        <v>0</v>
      </c>
      <c r="M345" s="420"/>
      <c r="N345" s="421"/>
    </row>
    <row r="346" spans="2:14" ht="16" customHeight="1" x14ac:dyDescent="0.2">
      <c r="B346" s="572">
        <v>46327</v>
      </c>
      <c r="C346" s="427"/>
      <c r="D346" s="502" t="s">
        <v>448</v>
      </c>
      <c r="E346" s="429"/>
      <c r="F346" s="428" t="s">
        <v>449</v>
      </c>
      <c r="G346" s="430"/>
      <c r="H346" s="430"/>
      <c r="I346" s="520"/>
      <c r="J346" s="538"/>
      <c r="K346" s="432">
        <f>IF(F346="Can",J346*0.65,IF(F346="Maas+SGK",J346,0))</f>
        <v>0</v>
      </c>
      <c r="L346" s="492">
        <f t="shared" si="162"/>
        <v>0</v>
      </c>
      <c r="M346" s="432"/>
      <c r="N346" s="433"/>
    </row>
    <row r="347" spans="2:14" x14ac:dyDescent="0.2">
      <c r="B347" s="575"/>
      <c r="C347" s="488"/>
      <c r="D347" s="489" t="s">
        <v>432</v>
      </c>
      <c r="E347" s="490"/>
      <c r="F347" s="489"/>
      <c r="G347" s="491"/>
      <c r="H347" s="491"/>
      <c r="I347" s="501"/>
      <c r="J347" s="534"/>
      <c r="K347" s="432">
        <f t="shared" ref="K347" si="163">IF(F347="Can",J347*0.65,IF(F347="Maas+SGK",J347,0))</f>
        <v>0</v>
      </c>
      <c r="L347" s="493">
        <f t="shared" si="162"/>
        <v>0</v>
      </c>
      <c r="M347" s="355"/>
      <c r="N347" s="486"/>
    </row>
    <row r="348" spans="2:14" x14ac:dyDescent="0.2">
      <c r="B348" s="573"/>
      <c r="C348" s="434"/>
      <c r="D348" s="435" t="s">
        <v>403</v>
      </c>
      <c r="E348" s="436"/>
      <c r="F348" s="435"/>
      <c r="G348" s="437"/>
      <c r="H348" s="437"/>
      <c r="I348" s="517"/>
      <c r="J348" s="535"/>
      <c r="K348" s="432">
        <f t="shared" ref="K348:K350" si="164">IF(F348="Can",J348*0.65,IF(F348="Maas+SGK",J348,0))</f>
        <v>0</v>
      </c>
      <c r="L348" s="493">
        <f t="shared" ref="L348:L352" si="165">IF(F348="Selim",J348*0.35,0)</f>
        <v>0</v>
      </c>
      <c r="M348" s="432"/>
      <c r="N348" s="433"/>
    </row>
    <row r="349" spans="2:14" x14ac:dyDescent="0.2">
      <c r="B349" s="573"/>
      <c r="C349" s="415"/>
      <c r="D349" s="416" t="s">
        <v>395</v>
      </c>
      <c r="E349" s="417"/>
      <c r="F349" s="416"/>
      <c r="G349" s="418"/>
      <c r="H349" s="418"/>
      <c r="I349" s="518"/>
      <c r="J349" s="536"/>
      <c r="K349" s="432">
        <f t="shared" si="164"/>
        <v>0</v>
      </c>
      <c r="L349" s="494">
        <f t="shared" si="165"/>
        <v>0</v>
      </c>
      <c r="M349" s="420"/>
      <c r="N349" s="421"/>
    </row>
    <row r="350" spans="2:14" ht="17" thickBot="1" x14ac:dyDescent="0.25">
      <c r="B350" s="574"/>
      <c r="C350" s="422"/>
      <c r="D350" s="423" t="s">
        <v>396</v>
      </c>
      <c r="E350" s="424"/>
      <c r="F350" s="423"/>
      <c r="G350" s="425"/>
      <c r="H350" s="425"/>
      <c r="I350" s="519"/>
      <c r="J350" s="537"/>
      <c r="K350" s="496">
        <f t="shared" si="164"/>
        <v>0</v>
      </c>
      <c r="L350" s="495">
        <f t="shared" si="165"/>
        <v>0</v>
      </c>
      <c r="M350" s="420"/>
      <c r="N350" s="421"/>
    </row>
    <row r="351" spans="2:14" ht="16" customHeight="1" x14ac:dyDescent="0.2">
      <c r="B351" s="572">
        <v>46357</v>
      </c>
      <c r="C351" s="427"/>
      <c r="D351" s="502" t="s">
        <v>448</v>
      </c>
      <c r="E351" s="429"/>
      <c r="F351" s="428" t="s">
        <v>449</v>
      </c>
      <c r="G351" s="430"/>
      <c r="H351" s="430"/>
      <c r="I351" s="520"/>
      <c r="J351" s="538"/>
      <c r="K351" s="432">
        <f>IF(F351="Can",J351*0.65,IF(F351="Maas+SGK",J351,0))</f>
        <v>0</v>
      </c>
      <c r="L351" s="431">
        <f t="shared" si="165"/>
        <v>0</v>
      </c>
      <c r="M351" s="432"/>
      <c r="N351" s="433"/>
    </row>
    <row r="352" spans="2:14" x14ac:dyDescent="0.2">
      <c r="B352" s="575"/>
      <c r="C352" s="488"/>
      <c r="D352" s="489" t="s">
        <v>432</v>
      </c>
      <c r="E352" s="490"/>
      <c r="F352" s="489"/>
      <c r="G352" s="491"/>
      <c r="H352" s="491"/>
      <c r="I352" s="501"/>
      <c r="J352" s="534"/>
      <c r="K352" s="432">
        <f t="shared" ref="K352" si="166">IF(F352="Can",J352*0.65,IF(F352="Maas+SGK",J352,0))</f>
        <v>0</v>
      </c>
      <c r="L352" s="493">
        <f t="shared" si="165"/>
        <v>0</v>
      </c>
      <c r="M352" s="355"/>
      <c r="N352" s="486"/>
    </row>
    <row r="353" spans="2:14" x14ac:dyDescent="0.2">
      <c r="B353" s="573"/>
      <c r="C353" s="434"/>
      <c r="D353" s="435" t="s">
        <v>403</v>
      </c>
      <c r="E353" s="436"/>
      <c r="F353" s="435"/>
      <c r="G353" s="437"/>
      <c r="H353" s="437"/>
      <c r="I353" s="517"/>
      <c r="J353" s="535"/>
      <c r="K353" s="432">
        <f t="shared" ref="K353:K355" si="167">IF(F353="Can",J353*0.65,IF(F353="Maas+SGK",J353,0))</f>
        <v>0</v>
      </c>
      <c r="L353" s="438">
        <f t="shared" ref="L353:L355" si="168">IF(F353="Selim",J353*0.35,0)</f>
        <v>0</v>
      </c>
      <c r="M353" s="432"/>
      <c r="N353" s="433"/>
    </row>
    <row r="354" spans="2:14" x14ac:dyDescent="0.2">
      <c r="B354" s="573"/>
      <c r="C354" s="415"/>
      <c r="D354" s="416" t="s">
        <v>395</v>
      </c>
      <c r="E354" s="417"/>
      <c r="F354" s="416"/>
      <c r="G354" s="418"/>
      <c r="H354" s="418"/>
      <c r="I354" s="518"/>
      <c r="J354" s="536"/>
      <c r="K354" s="432">
        <f t="shared" si="167"/>
        <v>0</v>
      </c>
      <c r="L354" s="419">
        <f t="shared" si="168"/>
        <v>0</v>
      </c>
      <c r="M354" s="420"/>
      <c r="N354" s="421"/>
    </row>
    <row r="355" spans="2:14" ht="17" thickBot="1" x14ac:dyDescent="0.25">
      <c r="B355" s="574"/>
      <c r="C355" s="422"/>
      <c r="D355" s="423" t="s">
        <v>396</v>
      </c>
      <c r="E355" s="424"/>
      <c r="F355" s="423"/>
      <c r="G355" s="425"/>
      <c r="H355" s="425"/>
      <c r="I355" s="519"/>
      <c r="J355" s="537"/>
      <c r="K355" s="496">
        <f t="shared" si="167"/>
        <v>0</v>
      </c>
      <c r="L355" s="426">
        <f t="shared" si="168"/>
        <v>0</v>
      </c>
      <c r="M355" s="420"/>
      <c r="N355" s="421"/>
    </row>
    <row r="356" spans="2:14" ht="16" customHeight="1" x14ac:dyDescent="0.2">
      <c r="B356" s="132"/>
      <c r="C356" s="133"/>
      <c r="D356" s="64"/>
      <c r="E356" s="40"/>
      <c r="F356" s="64"/>
      <c r="G356" s="53"/>
      <c r="H356" s="53"/>
      <c r="I356" s="53"/>
      <c r="J356" s="539"/>
      <c r="K356" s="213"/>
      <c r="L356" s="213"/>
      <c r="M356" s="213"/>
      <c r="N356" s="439"/>
    </row>
    <row r="357" spans="2:14" x14ac:dyDescent="0.2">
      <c r="B357" s="132"/>
      <c r="C357" s="133"/>
      <c r="D357" s="64"/>
      <c r="E357" s="40"/>
      <c r="F357" s="64"/>
      <c r="G357" s="53"/>
      <c r="H357" s="53"/>
      <c r="I357" s="53"/>
      <c r="J357" s="539"/>
      <c r="K357" s="213"/>
      <c r="L357" s="213"/>
      <c r="M357" s="213"/>
      <c r="N357" s="439"/>
    </row>
    <row r="358" spans="2:14" x14ac:dyDescent="0.2">
      <c r="C358" s="133"/>
      <c r="D358" s="64"/>
      <c r="E358" s="40"/>
      <c r="F358" s="64"/>
      <c r="G358" s="53"/>
      <c r="H358" s="53"/>
      <c r="I358" s="53"/>
      <c r="J358" s="539"/>
      <c r="K358" s="213"/>
      <c r="L358" s="213"/>
      <c r="M358" s="213"/>
      <c r="N358" s="439"/>
    </row>
    <row r="359" spans="2:14" x14ac:dyDescent="0.2">
      <c r="C359" s="133"/>
      <c r="D359" s="64"/>
      <c r="E359" s="40"/>
      <c r="F359" s="64"/>
      <c r="G359" s="53"/>
      <c r="H359" s="53"/>
      <c r="I359" s="53"/>
      <c r="J359" s="539"/>
      <c r="K359" s="213"/>
      <c r="L359" s="213"/>
      <c r="M359" s="213"/>
      <c r="N359" s="439"/>
    </row>
    <row r="360" spans="2:14" ht="17" thickBot="1" x14ac:dyDescent="0.25">
      <c r="C360" s="118"/>
      <c r="D360" s="119"/>
      <c r="E360" s="244"/>
      <c r="F360" s="119"/>
      <c r="G360" s="120"/>
      <c r="H360" s="120"/>
      <c r="I360" s="120"/>
      <c r="J360" s="235"/>
      <c r="K360" s="528">
        <f t="shared" si="113"/>
        <v>0</v>
      </c>
      <c r="L360" s="223">
        <f t="shared" si="114"/>
        <v>0</v>
      </c>
      <c r="M360" s="355"/>
      <c r="N360" s="204"/>
    </row>
    <row r="361" spans="2:14" ht="17" thickTop="1" x14ac:dyDescent="0.2">
      <c r="C361" s="578" t="s">
        <v>94</v>
      </c>
      <c r="D361" s="578"/>
      <c r="E361" s="578"/>
      <c r="F361" s="578"/>
      <c r="G361" s="578"/>
      <c r="H361" s="245">
        <f>SUM(H4:H360)</f>
        <v>475793.91000000003</v>
      </c>
      <c r="I361" s="245">
        <f>SUM(I4:I360)</f>
        <v>475793.91000000003</v>
      </c>
      <c r="K361" s="110">
        <f>SUM(K4:K360)</f>
        <v>33778.692833495523</v>
      </c>
      <c r="L361" s="110">
        <f>SUM(L4:L360)</f>
        <v>40073.725207819167</v>
      </c>
      <c r="N361" s="113"/>
    </row>
    <row r="362" spans="2:14" x14ac:dyDescent="0.2">
      <c r="C362" s="577" t="s">
        <v>159</v>
      </c>
      <c r="D362" s="577"/>
      <c r="E362" s="577"/>
      <c r="F362" s="577"/>
      <c r="G362" s="577"/>
      <c r="H362" s="140">
        <f>H361-I361</f>
        <v>0</v>
      </c>
      <c r="I362" s="140">
        <f>I361-H361</f>
        <v>0</v>
      </c>
      <c r="J362" s="141"/>
      <c r="K362" s="141">
        <f>K361-L361</f>
        <v>-6295.032374323644</v>
      </c>
      <c r="L362" s="141">
        <f>L361-K361</f>
        <v>6295.032374323644</v>
      </c>
      <c r="M362" s="141"/>
      <c r="N362" s="141"/>
    </row>
    <row r="363" spans="2:14" x14ac:dyDescent="0.2">
      <c r="C363" s="94"/>
      <c r="D363" s="49"/>
      <c r="E363" s="49"/>
      <c r="F363" s="49"/>
      <c r="G363" s="50"/>
      <c r="H363" s="50"/>
      <c r="I363" s="50"/>
    </row>
    <row r="364" spans="2:14" x14ac:dyDescent="0.2">
      <c r="C364" s="94"/>
      <c r="D364" s="49"/>
      <c r="E364" s="49"/>
      <c r="F364" s="49"/>
      <c r="G364" s="50"/>
      <c r="H364" s="50"/>
      <c r="I364" s="50"/>
      <c r="L364" s="304"/>
      <c r="M364" s="304"/>
    </row>
    <row r="365" spans="2:14" x14ac:dyDescent="0.2">
      <c r="C365" s="94"/>
      <c r="D365" s="49"/>
      <c r="E365" s="49"/>
      <c r="F365" s="49"/>
      <c r="G365" s="50"/>
      <c r="H365" s="50"/>
      <c r="I365" s="50"/>
      <c r="K365" s="110" t="s">
        <v>433</v>
      </c>
      <c r="L365" s="110">
        <v>200000</v>
      </c>
    </row>
    <row r="366" spans="2:14" x14ac:dyDescent="0.2">
      <c r="C366" s="94"/>
      <c r="D366" s="49"/>
      <c r="E366" s="49"/>
      <c r="F366" s="49"/>
      <c r="G366" s="49"/>
      <c r="H366" s="49"/>
      <c r="I366" s="49"/>
      <c r="K366" s="110" t="s">
        <v>434</v>
      </c>
      <c r="L366" s="110">
        <v>-19000</v>
      </c>
    </row>
    <row r="367" spans="2:14" x14ac:dyDescent="0.2">
      <c r="C367" s="94"/>
      <c r="D367" s="49"/>
      <c r="E367" s="49"/>
      <c r="F367" s="49"/>
      <c r="G367" s="49"/>
      <c r="H367" s="95"/>
      <c r="I367" s="49"/>
      <c r="K367" s="110" t="s">
        <v>435</v>
      </c>
      <c r="L367" s="110">
        <v>100000</v>
      </c>
      <c r="M367" s="124"/>
    </row>
    <row r="368" spans="2:14" x14ac:dyDescent="0.2">
      <c r="C368" s="94"/>
      <c r="D368" s="49"/>
      <c r="E368" s="49"/>
      <c r="F368" s="49"/>
      <c r="G368" s="49"/>
      <c r="H368" s="50"/>
      <c r="I368" s="50"/>
      <c r="L368" s="304">
        <f>SUM(L365:L367)</f>
        <v>281000</v>
      </c>
      <c r="M368" s="124"/>
    </row>
    <row r="369" spans="3:13" x14ac:dyDescent="0.2">
      <c r="C369" s="94"/>
      <c r="D369" s="49"/>
      <c r="E369" s="49"/>
      <c r="F369" s="49"/>
      <c r="G369" s="50"/>
      <c r="H369" s="50"/>
      <c r="I369" s="50"/>
      <c r="K369" s="110" t="s">
        <v>438</v>
      </c>
      <c r="L369" s="110">
        <v>350000</v>
      </c>
      <c r="M369" s="124"/>
    </row>
    <row r="370" spans="3:13" x14ac:dyDescent="0.2">
      <c r="C370" s="94"/>
      <c r="D370" s="49"/>
      <c r="E370" s="473"/>
      <c r="F370" s="49"/>
      <c r="G370" s="50"/>
      <c r="H370" s="50"/>
      <c r="I370" s="50"/>
      <c r="K370" s="110" t="s">
        <v>126</v>
      </c>
      <c r="L370" s="110">
        <f>L369-L368</f>
        <v>69000</v>
      </c>
    </row>
    <row r="371" spans="3:13" x14ac:dyDescent="0.2">
      <c r="C371" s="94"/>
      <c r="D371" s="49"/>
      <c r="E371" s="49"/>
      <c r="F371" s="49"/>
      <c r="G371" s="50"/>
      <c r="H371" s="50"/>
      <c r="I371" s="50"/>
      <c r="K371" s="110" t="s">
        <v>439</v>
      </c>
      <c r="L371" s="110">
        <v>-3594</v>
      </c>
    </row>
    <row r="372" spans="3:13" x14ac:dyDescent="0.2">
      <c r="C372" s="94"/>
      <c r="D372" s="49"/>
      <c r="E372" s="49"/>
      <c r="F372" s="49"/>
      <c r="G372" s="50"/>
      <c r="H372" s="50"/>
      <c r="I372" s="50"/>
      <c r="K372" s="110" t="s">
        <v>440</v>
      </c>
      <c r="L372" s="110">
        <v>-1436</v>
      </c>
    </row>
    <row r="373" spans="3:13" x14ac:dyDescent="0.2">
      <c r="C373" s="94"/>
      <c r="D373" s="49"/>
      <c r="E373" s="49"/>
      <c r="F373" s="49"/>
      <c r="G373" s="50"/>
      <c r="H373" s="50"/>
      <c r="I373" s="50"/>
      <c r="L373" s="304">
        <f>SUM(L370:L372)</f>
        <v>63970</v>
      </c>
    </row>
    <row r="374" spans="3:13" x14ac:dyDescent="0.2">
      <c r="C374" s="94"/>
      <c r="D374" s="49"/>
      <c r="E374" s="49"/>
      <c r="F374" s="49"/>
      <c r="G374" s="50"/>
      <c r="H374" s="51"/>
      <c r="I374" s="51"/>
    </row>
    <row r="375" spans="3:13" x14ac:dyDescent="0.2">
      <c r="C375" s="94"/>
      <c r="D375" s="49"/>
      <c r="E375" s="49"/>
      <c r="F375" s="49"/>
      <c r="G375" s="50"/>
      <c r="H375" s="51"/>
      <c r="I375" s="51"/>
    </row>
    <row r="376" spans="3:13" x14ac:dyDescent="0.2">
      <c r="C376" s="94"/>
      <c r="D376" s="49"/>
      <c r="E376" s="49"/>
      <c r="F376" s="49"/>
      <c r="G376" s="50"/>
      <c r="H376" s="51"/>
      <c r="I376" s="51"/>
      <c r="K376" s="110" t="s">
        <v>433</v>
      </c>
      <c r="L376" s="110">
        <v>200000</v>
      </c>
    </row>
    <row r="377" spans="3:13" x14ac:dyDescent="0.2">
      <c r="C377" s="94"/>
      <c r="D377" s="49"/>
      <c r="E377" s="49"/>
      <c r="F377" s="49"/>
      <c r="G377" s="50"/>
      <c r="H377" s="50"/>
      <c r="I377" s="50"/>
      <c r="K377" s="110" t="s">
        <v>434</v>
      </c>
      <c r="L377" s="110">
        <v>-19000</v>
      </c>
    </row>
    <row r="378" spans="3:13" x14ac:dyDescent="0.2">
      <c r="C378" s="94"/>
      <c r="D378" s="49"/>
      <c r="E378" s="49"/>
      <c r="F378" s="49"/>
      <c r="G378" s="50"/>
      <c r="H378" s="50"/>
      <c r="I378" s="50"/>
      <c r="K378" s="110" t="s">
        <v>441</v>
      </c>
      <c r="L378" s="110">
        <v>5030</v>
      </c>
    </row>
    <row r="379" spans="3:13" x14ac:dyDescent="0.2">
      <c r="C379" s="94"/>
      <c r="D379" s="49"/>
      <c r="E379" s="49"/>
      <c r="F379" s="49"/>
      <c r="G379" s="50"/>
      <c r="H379" s="50"/>
      <c r="I379" s="50"/>
      <c r="K379" s="110" t="s">
        <v>435</v>
      </c>
      <c r="L379" s="110">
        <v>100000</v>
      </c>
    </row>
    <row r="380" spans="3:13" x14ac:dyDescent="0.2">
      <c r="C380" s="94"/>
      <c r="D380" s="49"/>
      <c r="E380" s="49"/>
      <c r="F380" s="49"/>
      <c r="G380" s="49"/>
      <c r="H380" s="50"/>
      <c r="I380" s="50"/>
      <c r="L380" s="304">
        <f>SUM(L376:L379)</f>
        <v>286030</v>
      </c>
    </row>
    <row r="381" spans="3:13" x14ac:dyDescent="0.2">
      <c r="C381" s="94"/>
      <c r="D381" s="49"/>
      <c r="E381" s="49"/>
      <c r="F381" s="49"/>
      <c r="G381" s="49"/>
      <c r="H381" s="50"/>
      <c r="I381" s="50"/>
      <c r="K381" s="110" t="s">
        <v>438</v>
      </c>
      <c r="L381" s="110">
        <v>350000</v>
      </c>
    </row>
    <row r="382" spans="3:13" x14ac:dyDescent="0.2">
      <c r="C382" s="94"/>
      <c r="D382" s="49"/>
      <c r="E382" s="49"/>
      <c r="F382" s="49"/>
      <c r="G382" s="50"/>
      <c r="H382" s="50"/>
      <c r="I382" s="50"/>
      <c r="K382" s="304" t="s">
        <v>126</v>
      </c>
      <c r="L382" s="304">
        <f>L381-L380</f>
        <v>63970</v>
      </c>
    </row>
    <row r="383" spans="3:13" x14ac:dyDescent="0.2">
      <c r="C383" s="94"/>
      <c r="D383" s="49"/>
      <c r="E383" s="49"/>
      <c r="F383" s="49"/>
      <c r="G383" s="50"/>
      <c r="H383" s="50"/>
      <c r="I383" s="50"/>
    </row>
    <row r="384" spans="3:13" x14ac:dyDescent="0.2">
      <c r="C384" s="94"/>
      <c r="D384" s="49"/>
      <c r="E384" s="49"/>
      <c r="F384" s="49"/>
      <c r="G384" s="50"/>
      <c r="H384" s="50"/>
      <c r="I384" s="50"/>
      <c r="L384" s="304">
        <v>13970</v>
      </c>
    </row>
    <row r="385" spans="3:12" x14ac:dyDescent="0.2">
      <c r="C385" s="94"/>
      <c r="D385" s="49"/>
      <c r="E385" s="49"/>
      <c r="F385" s="49"/>
      <c r="G385" s="50"/>
      <c r="H385" s="50"/>
      <c r="I385" s="50"/>
      <c r="L385" s="304">
        <v>43.04</v>
      </c>
    </row>
    <row r="386" spans="3:12" x14ac:dyDescent="0.2">
      <c r="C386" s="94"/>
      <c r="D386" s="49"/>
      <c r="E386" s="49"/>
      <c r="F386" s="49"/>
      <c r="G386" s="50"/>
      <c r="H386" s="50"/>
      <c r="I386" s="50"/>
      <c r="K386" s="110" t="s">
        <v>442</v>
      </c>
      <c r="L386" s="124">
        <f>L384*L385</f>
        <v>601268.79999999993</v>
      </c>
    </row>
    <row r="387" spans="3:12" x14ac:dyDescent="0.2">
      <c r="C387" s="94"/>
      <c r="D387" s="49"/>
      <c r="E387" s="49"/>
      <c r="F387" s="49"/>
      <c r="G387" s="50"/>
      <c r="H387" s="50"/>
      <c r="I387" s="50"/>
      <c r="K387" s="110" t="s">
        <v>446</v>
      </c>
      <c r="L387" s="124">
        <v>25168.53</v>
      </c>
    </row>
    <row r="388" spans="3:12" x14ac:dyDescent="0.2">
      <c r="C388" s="94"/>
      <c r="D388" s="49"/>
      <c r="E388" s="49"/>
      <c r="F388" s="49"/>
      <c r="G388" s="50"/>
      <c r="H388" s="50"/>
      <c r="I388" s="50"/>
      <c r="K388" s="110" t="s">
        <v>443</v>
      </c>
      <c r="L388" s="124">
        <v>-41418.449999999997</v>
      </c>
    </row>
    <row r="389" spans="3:12" x14ac:dyDescent="0.2">
      <c r="K389" s="110" t="s">
        <v>444</v>
      </c>
      <c r="L389" s="110">
        <v>-97.99</v>
      </c>
    </row>
    <row r="390" spans="3:12" x14ac:dyDescent="0.2">
      <c r="K390" s="110" t="s">
        <v>445</v>
      </c>
      <c r="L390" s="110">
        <v>-48992.86</v>
      </c>
    </row>
    <row r="391" spans="3:12" x14ac:dyDescent="0.2">
      <c r="L391" s="304">
        <f>SUM(L386:L390)</f>
        <v>535928.03</v>
      </c>
    </row>
  </sheetData>
  <mergeCells count="40">
    <mergeCell ref="B346:B350"/>
    <mergeCell ref="B351:B355"/>
    <mergeCell ref="B294:B300"/>
    <mergeCell ref="B301:B305"/>
    <mergeCell ref="B306:B310"/>
    <mergeCell ref="B311:B315"/>
    <mergeCell ref="B316:B320"/>
    <mergeCell ref="B321:B325"/>
    <mergeCell ref="B326:B330"/>
    <mergeCell ref="B331:B335"/>
    <mergeCell ref="B336:B340"/>
    <mergeCell ref="B341:B345"/>
    <mergeCell ref="B289:B293"/>
    <mergeCell ref="B258:B268"/>
    <mergeCell ref="B269:B272"/>
    <mergeCell ref="B273:B276"/>
    <mergeCell ref="B277:B280"/>
    <mergeCell ref="B281:B284"/>
    <mergeCell ref="B161:B165"/>
    <mergeCell ref="C362:G362"/>
    <mergeCell ref="C361:G361"/>
    <mergeCell ref="B172:B181"/>
    <mergeCell ref="B182:B188"/>
    <mergeCell ref="B189:B193"/>
    <mergeCell ref="B194:B198"/>
    <mergeCell ref="B199:B202"/>
    <mergeCell ref="B203:B206"/>
    <mergeCell ref="B207:B210"/>
    <mergeCell ref="B211:B214"/>
    <mergeCell ref="B215:B219"/>
    <mergeCell ref="B220:B223"/>
    <mergeCell ref="B224:B228"/>
    <mergeCell ref="B253:B257"/>
    <mergeCell ref="B285:B288"/>
    <mergeCell ref="B249:B252"/>
    <mergeCell ref="B240:B244"/>
    <mergeCell ref="B229:B232"/>
    <mergeCell ref="B233:B239"/>
    <mergeCell ref="B166:B171"/>
    <mergeCell ref="B245:B248"/>
  </mergeCells>
  <phoneticPr fontId="11" type="noConversion"/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924CE-63AB-EB4C-9CF9-968C76352A5C}">
  <sheetPr>
    <tabColor rgb="FF92D050"/>
  </sheetPr>
  <dimension ref="A1:Z254"/>
  <sheetViews>
    <sheetView zoomScale="125" zoomScaleNormal="100" workbookViewId="0">
      <pane xSplit="1" ySplit="4" topLeftCell="B211" activePane="bottomRight" state="frozen"/>
      <selection pane="topRight" activeCell="B1" sqref="B1"/>
      <selection pane="bottomLeft" activeCell="A5" sqref="A5"/>
      <selection pane="bottomRight" activeCell="C228" sqref="C228"/>
    </sheetView>
  </sheetViews>
  <sheetFormatPr baseColWidth="10" defaultColWidth="11" defaultRowHeight="16" x14ac:dyDescent="0.2"/>
  <cols>
    <col min="1" max="1" width="12" bestFit="1" customWidth="1"/>
    <col min="2" max="2" width="9.6640625" bestFit="1" customWidth="1"/>
    <col min="3" max="3" width="9.83203125" bestFit="1" customWidth="1"/>
    <col min="4" max="4" width="12" style="85" bestFit="1" customWidth="1"/>
    <col min="5" max="5" width="16.1640625" bestFit="1" customWidth="1"/>
    <col min="6" max="6" width="36.1640625" bestFit="1" customWidth="1"/>
    <col min="7" max="7" width="56" bestFit="1" customWidth="1"/>
    <col min="8" max="8" width="19.6640625" bestFit="1" customWidth="1"/>
    <col min="9" max="9" width="19.83203125" bestFit="1" customWidth="1"/>
    <col min="10" max="10" width="20.5" bestFit="1" customWidth="1"/>
    <col min="20" max="20" width="7" bestFit="1" customWidth="1"/>
    <col min="21" max="21" width="11.1640625" bestFit="1" customWidth="1"/>
    <col min="22" max="22" width="12" style="150" bestFit="1" customWidth="1"/>
    <col min="23" max="23" width="13.6640625" bestFit="1" customWidth="1"/>
    <col min="24" max="24" width="12.6640625" bestFit="1" customWidth="1"/>
    <col min="25" max="25" width="25" bestFit="1" customWidth="1"/>
  </cols>
  <sheetData>
    <row r="1" spans="1:10" ht="21" thickBot="1" x14ac:dyDescent="0.3">
      <c r="A1" s="36" t="s">
        <v>18</v>
      </c>
      <c r="B1" s="35" t="s">
        <v>99</v>
      </c>
      <c r="C1" s="35"/>
      <c r="D1" s="83"/>
    </row>
    <row r="2" spans="1:10" ht="17" thickTop="1" x14ac:dyDescent="0.2">
      <c r="B2" s="1"/>
      <c r="D2" s="84" t="s">
        <v>14</v>
      </c>
      <c r="E2" s="1" t="s">
        <v>20</v>
      </c>
      <c r="F2" s="1"/>
    </row>
    <row r="3" spans="1:10" x14ac:dyDescent="0.2">
      <c r="B3" s="1"/>
    </row>
    <row r="4" spans="1:10" ht="17" thickBot="1" x14ac:dyDescent="0.25">
      <c r="B4" s="1" t="s">
        <v>30</v>
      </c>
      <c r="C4" s="1" t="s">
        <v>6</v>
      </c>
      <c r="D4" s="84" t="s">
        <v>7</v>
      </c>
      <c r="E4" s="1" t="s">
        <v>8</v>
      </c>
      <c r="F4" s="1" t="s">
        <v>9</v>
      </c>
      <c r="G4" s="1" t="s">
        <v>25</v>
      </c>
      <c r="H4" s="1" t="s">
        <v>91</v>
      </c>
      <c r="I4" s="1" t="s">
        <v>18</v>
      </c>
      <c r="J4" s="1" t="s">
        <v>140</v>
      </c>
    </row>
    <row r="5" spans="1:10" ht="17" thickTop="1" x14ac:dyDescent="0.2">
      <c r="B5" s="25">
        <v>100010</v>
      </c>
      <c r="C5" s="26">
        <f>D5</f>
        <v>43023</v>
      </c>
      <c r="D5" s="86">
        <v>43023</v>
      </c>
      <c r="E5" s="27">
        <v>22000</v>
      </c>
      <c r="F5" s="28" t="s">
        <v>0</v>
      </c>
      <c r="G5" s="28"/>
      <c r="H5" s="28"/>
      <c r="I5" s="28" t="s">
        <v>17</v>
      </c>
      <c r="J5" s="29">
        <f>E5</f>
        <v>22000</v>
      </c>
    </row>
    <row r="6" spans="1:10" x14ac:dyDescent="0.2">
      <c r="B6" s="30">
        <v>100020</v>
      </c>
      <c r="C6" s="9"/>
      <c r="D6" s="87">
        <v>43024</v>
      </c>
      <c r="E6" s="7">
        <v>-22000</v>
      </c>
      <c r="F6" s="12" t="s">
        <v>42</v>
      </c>
      <c r="G6" s="12"/>
      <c r="H6" s="12"/>
      <c r="I6" s="12" t="s">
        <v>17</v>
      </c>
      <c r="J6" s="31">
        <f>E6+J5</f>
        <v>0</v>
      </c>
    </row>
    <row r="7" spans="1:10" x14ac:dyDescent="0.2">
      <c r="B7" s="30">
        <v>100030</v>
      </c>
      <c r="C7" s="9">
        <f>D7</f>
        <v>43054</v>
      </c>
      <c r="D7" s="87">
        <v>43054</v>
      </c>
      <c r="E7" s="7">
        <v>22000</v>
      </c>
      <c r="F7" s="12" t="s">
        <v>0</v>
      </c>
      <c r="G7" s="12"/>
      <c r="H7" s="12"/>
      <c r="I7" s="12" t="s">
        <v>17</v>
      </c>
      <c r="J7" s="31">
        <f t="shared" ref="J7:J73" si="0">E7+J6</f>
        <v>22000</v>
      </c>
    </row>
    <row r="8" spans="1:10" x14ac:dyDescent="0.2">
      <c r="B8" s="30">
        <v>100040</v>
      </c>
      <c r="C8" s="9"/>
      <c r="D8" s="87">
        <v>43055</v>
      </c>
      <c r="E8" s="7">
        <v>-22000</v>
      </c>
      <c r="F8" s="12" t="s">
        <v>42</v>
      </c>
      <c r="G8" s="12"/>
      <c r="H8" s="12"/>
      <c r="I8" s="12" t="s">
        <v>17</v>
      </c>
      <c r="J8" s="31">
        <f t="shared" si="0"/>
        <v>0</v>
      </c>
    </row>
    <row r="9" spans="1:10" x14ac:dyDescent="0.2">
      <c r="B9" s="30">
        <v>100050</v>
      </c>
      <c r="C9" s="9">
        <f>D9</f>
        <v>43084</v>
      </c>
      <c r="D9" s="87">
        <v>43084</v>
      </c>
      <c r="E9" s="7">
        <v>22000</v>
      </c>
      <c r="F9" s="12" t="s">
        <v>0</v>
      </c>
      <c r="G9" s="12"/>
      <c r="H9" s="12"/>
      <c r="I9" s="12" t="s">
        <v>17</v>
      </c>
      <c r="J9" s="31">
        <f t="shared" si="0"/>
        <v>22000</v>
      </c>
    </row>
    <row r="10" spans="1:10" x14ac:dyDescent="0.2">
      <c r="B10" s="30">
        <v>100060</v>
      </c>
      <c r="C10" s="9"/>
      <c r="D10" s="87">
        <v>43085</v>
      </c>
      <c r="E10" s="7">
        <v>-22000</v>
      </c>
      <c r="F10" s="12" t="s">
        <v>42</v>
      </c>
      <c r="G10" s="12"/>
      <c r="H10" s="12"/>
      <c r="I10" s="12" t="s">
        <v>17</v>
      </c>
      <c r="J10" s="31">
        <f t="shared" si="0"/>
        <v>0</v>
      </c>
    </row>
    <row r="11" spans="1:10" x14ac:dyDescent="0.2">
      <c r="B11" s="30">
        <v>100070</v>
      </c>
      <c r="C11" s="9">
        <f>D11</f>
        <v>43115</v>
      </c>
      <c r="D11" s="87">
        <v>43115</v>
      </c>
      <c r="E11" s="7">
        <v>22000</v>
      </c>
      <c r="F11" s="12" t="s">
        <v>0</v>
      </c>
      <c r="G11" s="12"/>
      <c r="H11" s="12"/>
      <c r="I11" s="12" t="s">
        <v>17</v>
      </c>
      <c r="J11" s="31">
        <f t="shared" si="0"/>
        <v>22000</v>
      </c>
    </row>
    <row r="12" spans="1:10" x14ac:dyDescent="0.2">
      <c r="B12" s="30">
        <v>100080</v>
      </c>
      <c r="C12" s="9"/>
      <c r="D12" s="87">
        <v>43116</v>
      </c>
      <c r="E12" s="7">
        <v>-22000</v>
      </c>
      <c r="F12" s="12" t="s">
        <v>42</v>
      </c>
      <c r="G12" s="12"/>
      <c r="H12" s="12"/>
      <c r="I12" s="12" t="s">
        <v>17</v>
      </c>
      <c r="J12" s="31">
        <f t="shared" si="0"/>
        <v>0</v>
      </c>
    </row>
    <row r="13" spans="1:10" x14ac:dyDescent="0.2">
      <c r="B13" s="30">
        <v>100090</v>
      </c>
      <c r="C13" s="9">
        <f>D13</f>
        <v>43146</v>
      </c>
      <c r="D13" s="87">
        <v>43146</v>
      </c>
      <c r="E13" s="7">
        <v>22000</v>
      </c>
      <c r="F13" s="12" t="s">
        <v>0</v>
      </c>
      <c r="G13" s="12"/>
      <c r="H13" s="12"/>
      <c r="I13" s="12" t="s">
        <v>17</v>
      </c>
      <c r="J13" s="31">
        <f t="shared" si="0"/>
        <v>22000</v>
      </c>
    </row>
    <row r="14" spans="1:10" x14ac:dyDescent="0.2">
      <c r="B14" s="30">
        <v>100100</v>
      </c>
      <c r="C14" s="9"/>
      <c r="D14" s="87">
        <v>43147</v>
      </c>
      <c r="E14" s="7">
        <v>-22000</v>
      </c>
      <c r="F14" s="12" t="s">
        <v>42</v>
      </c>
      <c r="G14" s="12"/>
      <c r="H14" s="12"/>
      <c r="I14" s="12" t="s">
        <v>17</v>
      </c>
      <c r="J14" s="31">
        <f t="shared" si="0"/>
        <v>0</v>
      </c>
    </row>
    <row r="15" spans="1:10" x14ac:dyDescent="0.2">
      <c r="B15" s="30">
        <v>100110</v>
      </c>
      <c r="C15" s="9">
        <f>D15</f>
        <v>43174</v>
      </c>
      <c r="D15" s="87">
        <v>43174</v>
      </c>
      <c r="E15" s="7">
        <v>22000</v>
      </c>
      <c r="F15" s="12" t="s">
        <v>0</v>
      </c>
      <c r="G15" s="12"/>
      <c r="H15" s="12"/>
      <c r="I15" s="12" t="s">
        <v>17</v>
      </c>
      <c r="J15" s="31">
        <f t="shared" si="0"/>
        <v>22000</v>
      </c>
    </row>
    <row r="16" spans="1:10" x14ac:dyDescent="0.2">
      <c r="B16" s="30">
        <v>100120</v>
      </c>
      <c r="C16" s="9"/>
      <c r="D16" s="87">
        <v>43175</v>
      </c>
      <c r="E16" s="7">
        <v>-22000</v>
      </c>
      <c r="F16" s="12" t="s">
        <v>42</v>
      </c>
      <c r="G16" s="12"/>
      <c r="H16" s="12"/>
      <c r="I16" s="12" t="s">
        <v>17</v>
      </c>
      <c r="J16" s="31">
        <f t="shared" si="0"/>
        <v>0</v>
      </c>
    </row>
    <row r="17" spans="2:10" x14ac:dyDescent="0.2">
      <c r="B17" s="30">
        <v>100130</v>
      </c>
      <c r="C17" s="9">
        <f>D17</f>
        <v>43205</v>
      </c>
      <c r="D17" s="87">
        <v>43205</v>
      </c>
      <c r="E17" s="7">
        <v>22000</v>
      </c>
      <c r="F17" s="12" t="s">
        <v>0</v>
      </c>
      <c r="G17" s="12"/>
      <c r="H17" s="12"/>
      <c r="I17" s="12" t="s">
        <v>17</v>
      </c>
      <c r="J17" s="31">
        <f t="shared" si="0"/>
        <v>22000</v>
      </c>
    </row>
    <row r="18" spans="2:10" x14ac:dyDescent="0.2">
      <c r="B18" s="30">
        <v>100140</v>
      </c>
      <c r="C18" s="9">
        <f>D18</f>
        <v>43235</v>
      </c>
      <c r="D18" s="87">
        <v>43235</v>
      </c>
      <c r="E18" s="7">
        <v>22000</v>
      </c>
      <c r="F18" s="12" t="s">
        <v>0</v>
      </c>
      <c r="G18" s="12"/>
      <c r="H18" s="12"/>
      <c r="I18" s="12" t="s">
        <v>17</v>
      </c>
      <c r="J18" s="31">
        <f t="shared" si="0"/>
        <v>44000</v>
      </c>
    </row>
    <row r="19" spans="2:10" x14ac:dyDescent="0.2">
      <c r="B19" s="30">
        <v>100150</v>
      </c>
      <c r="C19" s="9">
        <f>D19</f>
        <v>43266</v>
      </c>
      <c r="D19" s="87">
        <v>43266</v>
      </c>
      <c r="E19" s="7">
        <v>22000</v>
      </c>
      <c r="F19" s="12" t="s">
        <v>0</v>
      </c>
      <c r="G19" s="12"/>
      <c r="H19" s="12"/>
      <c r="I19" s="12" t="s">
        <v>17</v>
      </c>
      <c r="J19" s="31">
        <f t="shared" si="0"/>
        <v>66000</v>
      </c>
    </row>
    <row r="20" spans="2:10" x14ac:dyDescent="0.2">
      <c r="B20" s="30">
        <v>100160</v>
      </c>
      <c r="C20" s="9">
        <f>D20</f>
        <v>43296</v>
      </c>
      <c r="D20" s="87">
        <v>43296</v>
      </c>
      <c r="E20" s="7">
        <v>22000</v>
      </c>
      <c r="F20" s="12" t="s">
        <v>0</v>
      </c>
      <c r="G20" s="12"/>
      <c r="H20" s="12"/>
      <c r="I20" s="12" t="s">
        <v>17</v>
      </c>
      <c r="J20" s="31">
        <f t="shared" si="0"/>
        <v>88000</v>
      </c>
    </row>
    <row r="21" spans="2:10" x14ac:dyDescent="0.2">
      <c r="B21" s="30">
        <v>100170</v>
      </c>
      <c r="C21" s="9"/>
      <c r="D21" s="87">
        <v>43319</v>
      </c>
      <c r="E21" s="7">
        <v>-132000</v>
      </c>
      <c r="F21" s="12" t="s">
        <v>42</v>
      </c>
      <c r="G21" s="12" t="s">
        <v>43</v>
      </c>
      <c r="H21" s="12"/>
      <c r="I21" s="12" t="s">
        <v>17</v>
      </c>
      <c r="J21" s="31">
        <f t="shared" si="0"/>
        <v>-44000</v>
      </c>
    </row>
    <row r="22" spans="2:10" x14ac:dyDescent="0.2">
      <c r="B22" s="30">
        <v>100180</v>
      </c>
      <c r="C22" s="9">
        <f>D22</f>
        <v>43327</v>
      </c>
      <c r="D22" s="87">
        <v>43327</v>
      </c>
      <c r="E22" s="7">
        <v>22000</v>
      </c>
      <c r="F22" s="12" t="s">
        <v>0</v>
      </c>
      <c r="G22" s="12"/>
      <c r="H22" s="12"/>
      <c r="I22" s="12" t="s">
        <v>17</v>
      </c>
      <c r="J22" s="31">
        <f t="shared" si="0"/>
        <v>-22000</v>
      </c>
    </row>
    <row r="23" spans="2:10" ht="17" thickBot="1" x14ac:dyDescent="0.25">
      <c r="B23" s="32">
        <v>100190</v>
      </c>
      <c r="C23" s="33">
        <f>D23</f>
        <v>43358</v>
      </c>
      <c r="D23" s="82">
        <v>43358</v>
      </c>
      <c r="E23" s="6">
        <v>22000</v>
      </c>
      <c r="F23" s="10" t="s">
        <v>0</v>
      </c>
      <c r="G23" s="10"/>
      <c r="H23" s="10"/>
      <c r="I23" s="10" t="s">
        <v>17</v>
      </c>
      <c r="J23" s="34">
        <f t="shared" si="0"/>
        <v>0</v>
      </c>
    </row>
    <row r="24" spans="2:10" ht="17" thickTop="1" x14ac:dyDescent="0.2">
      <c r="B24" s="25">
        <v>100200</v>
      </c>
      <c r="C24" s="26">
        <f>D24</f>
        <v>43388</v>
      </c>
      <c r="D24" s="86">
        <v>43388</v>
      </c>
      <c r="E24" s="27">
        <v>22000</v>
      </c>
      <c r="F24" s="28" t="s">
        <v>0</v>
      </c>
      <c r="G24" s="28"/>
      <c r="H24" s="28"/>
      <c r="I24" s="28" t="s">
        <v>17</v>
      </c>
      <c r="J24" s="29">
        <f t="shared" si="0"/>
        <v>22000</v>
      </c>
    </row>
    <row r="25" spans="2:10" ht="34" x14ac:dyDescent="0.2">
      <c r="B25" s="30">
        <v>100210</v>
      </c>
      <c r="C25" s="9"/>
      <c r="D25" s="87">
        <v>43402</v>
      </c>
      <c r="E25" s="7">
        <v>0</v>
      </c>
      <c r="F25" s="12" t="s">
        <v>44</v>
      </c>
      <c r="G25" s="20" t="s">
        <v>57</v>
      </c>
      <c r="H25" s="20"/>
      <c r="I25" s="12" t="s">
        <v>17</v>
      </c>
      <c r="J25" s="31">
        <f t="shared" si="0"/>
        <v>22000</v>
      </c>
    </row>
    <row r="26" spans="2:10" x14ac:dyDescent="0.2">
      <c r="B26" s="30">
        <v>100220</v>
      </c>
      <c r="C26" s="9">
        <f t="shared" ref="C26:C32" si="1">D26</f>
        <v>43419</v>
      </c>
      <c r="D26" s="87">
        <v>43419</v>
      </c>
      <c r="E26" s="7">
        <v>22000</v>
      </c>
      <c r="F26" s="12" t="s">
        <v>0</v>
      </c>
      <c r="G26" s="12"/>
      <c r="H26" s="12"/>
      <c r="I26" s="12" t="s">
        <v>17</v>
      </c>
      <c r="J26" s="31">
        <f t="shared" si="0"/>
        <v>44000</v>
      </c>
    </row>
    <row r="27" spans="2:10" x14ac:dyDescent="0.2">
      <c r="B27" s="30">
        <v>100230</v>
      </c>
      <c r="C27" s="9">
        <f t="shared" si="1"/>
        <v>43449</v>
      </c>
      <c r="D27" s="87">
        <v>43449</v>
      </c>
      <c r="E27" s="7">
        <v>22000</v>
      </c>
      <c r="F27" s="12" t="s">
        <v>0</v>
      </c>
      <c r="G27" s="12"/>
      <c r="H27" s="12"/>
      <c r="I27" s="12" t="s">
        <v>17</v>
      </c>
      <c r="J27" s="31">
        <f t="shared" si="0"/>
        <v>66000</v>
      </c>
    </row>
    <row r="28" spans="2:10" x14ac:dyDescent="0.2">
      <c r="B28" s="30">
        <v>100240</v>
      </c>
      <c r="C28" s="9">
        <f t="shared" si="1"/>
        <v>43480</v>
      </c>
      <c r="D28" s="87">
        <v>43480</v>
      </c>
      <c r="E28" s="7">
        <v>22000</v>
      </c>
      <c r="F28" s="12" t="s">
        <v>0</v>
      </c>
      <c r="G28" s="12"/>
      <c r="H28" s="12"/>
      <c r="I28" s="12" t="s">
        <v>17</v>
      </c>
      <c r="J28" s="31">
        <f t="shared" si="0"/>
        <v>88000</v>
      </c>
    </row>
    <row r="29" spans="2:10" x14ac:dyDescent="0.2">
      <c r="B29" s="30">
        <v>100250</v>
      </c>
      <c r="C29" s="9">
        <f t="shared" si="1"/>
        <v>43509</v>
      </c>
      <c r="D29" s="87">
        <v>43509</v>
      </c>
      <c r="E29" s="7">
        <v>22000</v>
      </c>
      <c r="F29" s="12" t="s">
        <v>0</v>
      </c>
      <c r="G29" s="12"/>
      <c r="H29" s="12"/>
      <c r="I29" s="12" t="s">
        <v>17</v>
      </c>
      <c r="J29" s="31">
        <f t="shared" si="0"/>
        <v>110000</v>
      </c>
    </row>
    <row r="30" spans="2:10" x14ac:dyDescent="0.2">
      <c r="B30" s="30">
        <v>100260</v>
      </c>
      <c r="C30" s="9">
        <f t="shared" si="1"/>
        <v>43539</v>
      </c>
      <c r="D30" s="87">
        <v>43539</v>
      </c>
      <c r="E30" s="7">
        <v>22000</v>
      </c>
      <c r="F30" s="12" t="s">
        <v>0</v>
      </c>
      <c r="G30" s="12"/>
      <c r="H30" s="12"/>
      <c r="I30" s="12" t="s">
        <v>17</v>
      </c>
      <c r="J30" s="31">
        <f t="shared" si="0"/>
        <v>132000</v>
      </c>
    </row>
    <row r="31" spans="2:10" x14ac:dyDescent="0.2">
      <c r="B31" s="30">
        <v>100270</v>
      </c>
      <c r="C31" s="9">
        <f t="shared" si="1"/>
        <v>43570</v>
      </c>
      <c r="D31" s="87">
        <v>43570</v>
      </c>
      <c r="E31" s="7">
        <v>22000</v>
      </c>
      <c r="F31" s="12" t="s">
        <v>0</v>
      </c>
      <c r="G31" s="12"/>
      <c r="H31" s="12"/>
      <c r="I31" s="12" t="s">
        <v>17</v>
      </c>
      <c r="J31" s="31">
        <f t="shared" si="0"/>
        <v>154000</v>
      </c>
    </row>
    <row r="32" spans="2:10" x14ac:dyDescent="0.2">
      <c r="B32" s="30">
        <v>100280</v>
      </c>
      <c r="C32" s="9">
        <f t="shared" si="1"/>
        <v>43600</v>
      </c>
      <c r="D32" s="87">
        <v>43600</v>
      </c>
      <c r="E32" s="7">
        <v>22000</v>
      </c>
      <c r="F32" s="12" t="s">
        <v>0</v>
      </c>
      <c r="G32" s="12"/>
      <c r="H32" s="12"/>
      <c r="I32" s="12" t="s">
        <v>17</v>
      </c>
      <c r="J32" s="31">
        <f t="shared" si="0"/>
        <v>176000</v>
      </c>
    </row>
    <row r="33" spans="2:10" x14ac:dyDescent="0.2">
      <c r="B33" s="30">
        <v>100290</v>
      </c>
      <c r="C33" s="9"/>
      <c r="D33" s="87">
        <v>43631</v>
      </c>
      <c r="E33" s="7">
        <v>-108000</v>
      </c>
      <c r="F33" s="12" t="s">
        <v>45</v>
      </c>
      <c r="G33" s="12" t="s">
        <v>46</v>
      </c>
      <c r="H33" s="12"/>
      <c r="I33" s="12" t="s">
        <v>17</v>
      </c>
      <c r="J33" s="31">
        <f t="shared" si="0"/>
        <v>68000</v>
      </c>
    </row>
    <row r="34" spans="2:10" x14ac:dyDescent="0.2">
      <c r="B34" s="30">
        <v>100300</v>
      </c>
      <c r="C34" s="9">
        <f>D34</f>
        <v>43631</v>
      </c>
      <c r="D34" s="87">
        <v>43631</v>
      </c>
      <c r="E34" s="7">
        <v>22000</v>
      </c>
      <c r="F34" s="12" t="s">
        <v>0</v>
      </c>
      <c r="G34" s="12"/>
      <c r="H34" s="12"/>
      <c r="I34" s="12" t="s">
        <v>17</v>
      </c>
      <c r="J34" s="31">
        <f t="shared" si="0"/>
        <v>90000</v>
      </c>
    </row>
    <row r="35" spans="2:10" x14ac:dyDescent="0.2">
      <c r="B35" s="30">
        <v>100310</v>
      </c>
      <c r="C35" s="9"/>
      <c r="D35" s="87">
        <v>43650</v>
      </c>
      <c r="E35" s="7">
        <v>-156000</v>
      </c>
      <c r="F35" s="12" t="s">
        <v>45</v>
      </c>
      <c r="G35" s="12" t="s">
        <v>47</v>
      </c>
      <c r="H35" s="12"/>
      <c r="I35" s="12" t="s">
        <v>17</v>
      </c>
      <c r="J35" s="31">
        <f t="shared" si="0"/>
        <v>-66000</v>
      </c>
    </row>
    <row r="36" spans="2:10" x14ac:dyDescent="0.2">
      <c r="B36" s="30">
        <v>100320</v>
      </c>
      <c r="C36" s="9">
        <f>D36</f>
        <v>43661</v>
      </c>
      <c r="D36" s="87">
        <v>43661</v>
      </c>
      <c r="E36" s="7">
        <v>22000</v>
      </c>
      <c r="F36" s="12" t="s">
        <v>0</v>
      </c>
      <c r="G36" s="12"/>
      <c r="H36" s="12"/>
      <c r="I36" s="12" t="s">
        <v>17</v>
      </c>
      <c r="J36" s="31">
        <f t="shared" si="0"/>
        <v>-44000</v>
      </c>
    </row>
    <row r="37" spans="2:10" x14ac:dyDescent="0.2">
      <c r="B37" s="30">
        <v>100330</v>
      </c>
      <c r="C37" s="9">
        <f>D37</f>
        <v>43692</v>
      </c>
      <c r="D37" s="87">
        <v>43692</v>
      </c>
      <c r="E37" s="7">
        <v>22000</v>
      </c>
      <c r="F37" s="12" t="s">
        <v>0</v>
      </c>
      <c r="G37" s="12"/>
      <c r="H37" s="12"/>
      <c r="I37" s="12" t="s">
        <v>17</v>
      </c>
      <c r="J37" s="31">
        <f t="shared" si="0"/>
        <v>-22000</v>
      </c>
    </row>
    <row r="38" spans="2:10" ht="17" thickBot="1" x14ac:dyDescent="0.25">
      <c r="B38" s="32">
        <v>100340</v>
      </c>
      <c r="C38" s="33">
        <f>D38</f>
        <v>43723</v>
      </c>
      <c r="D38" s="82">
        <v>43723</v>
      </c>
      <c r="E38" s="6">
        <v>22000</v>
      </c>
      <c r="F38" s="10" t="s">
        <v>0</v>
      </c>
      <c r="G38" s="10"/>
      <c r="H38" s="10"/>
      <c r="I38" s="10" t="s">
        <v>17</v>
      </c>
      <c r="J38" s="34">
        <f t="shared" si="0"/>
        <v>0</v>
      </c>
    </row>
    <row r="39" spans="2:10" ht="17" thickTop="1" x14ac:dyDescent="0.2">
      <c r="B39" s="25">
        <v>100350</v>
      </c>
      <c r="C39" s="26">
        <f>D39</f>
        <v>43753</v>
      </c>
      <c r="D39" s="86">
        <v>43753</v>
      </c>
      <c r="E39" s="27">
        <v>24200</v>
      </c>
      <c r="F39" s="28" t="s">
        <v>0</v>
      </c>
      <c r="G39" s="28"/>
      <c r="H39" s="28"/>
      <c r="I39" s="28" t="s">
        <v>17</v>
      </c>
      <c r="J39" s="29">
        <f t="shared" si="0"/>
        <v>24200</v>
      </c>
    </row>
    <row r="40" spans="2:10" x14ac:dyDescent="0.2">
      <c r="B40" s="30">
        <v>100360</v>
      </c>
      <c r="C40" s="9"/>
      <c r="D40" s="87">
        <v>43776</v>
      </c>
      <c r="E40" s="7">
        <v>5000</v>
      </c>
      <c r="F40" s="12" t="s">
        <v>51</v>
      </c>
      <c r="G40" s="12" t="s">
        <v>50</v>
      </c>
      <c r="H40" s="12"/>
      <c r="I40" s="12"/>
      <c r="J40" s="31">
        <f t="shared" si="0"/>
        <v>29200</v>
      </c>
    </row>
    <row r="41" spans="2:10" x14ac:dyDescent="0.2">
      <c r="B41" s="30">
        <v>100370</v>
      </c>
      <c r="C41" s="9"/>
      <c r="D41" s="87">
        <v>43776</v>
      </c>
      <c r="E41" s="7">
        <v>-5000</v>
      </c>
      <c r="F41" s="12" t="s">
        <v>49</v>
      </c>
      <c r="G41" s="12"/>
      <c r="H41" s="12"/>
      <c r="I41" s="12"/>
      <c r="J41" s="31">
        <f t="shared" si="0"/>
        <v>24200</v>
      </c>
    </row>
    <row r="42" spans="2:10" ht="34" x14ac:dyDescent="0.2">
      <c r="B42" s="30">
        <v>100380</v>
      </c>
      <c r="C42" s="9"/>
      <c r="D42" s="87">
        <v>43776</v>
      </c>
      <c r="E42" s="7">
        <v>0</v>
      </c>
      <c r="F42" s="12" t="s">
        <v>44</v>
      </c>
      <c r="G42" s="20" t="s">
        <v>48</v>
      </c>
      <c r="H42" s="20"/>
      <c r="I42" s="12" t="s">
        <v>17</v>
      </c>
      <c r="J42" s="31">
        <f t="shared" si="0"/>
        <v>24200</v>
      </c>
    </row>
    <row r="43" spans="2:10" x14ac:dyDescent="0.2">
      <c r="B43" s="30">
        <v>100390</v>
      </c>
      <c r="C43" s="9">
        <f t="shared" ref="C43:C51" si="2">D43</f>
        <v>43784</v>
      </c>
      <c r="D43" s="87">
        <v>43784</v>
      </c>
      <c r="E43" s="7">
        <v>24200</v>
      </c>
      <c r="F43" s="12" t="s">
        <v>0</v>
      </c>
      <c r="G43" s="12"/>
      <c r="H43" s="12"/>
      <c r="I43" s="12" t="s">
        <v>17</v>
      </c>
      <c r="J43" s="31">
        <f t="shared" si="0"/>
        <v>48400</v>
      </c>
    </row>
    <row r="44" spans="2:10" x14ac:dyDescent="0.2">
      <c r="B44" s="30">
        <v>100400</v>
      </c>
      <c r="C44" s="9">
        <f t="shared" si="2"/>
        <v>43814</v>
      </c>
      <c r="D44" s="87">
        <v>43814</v>
      </c>
      <c r="E44" s="7">
        <v>24200</v>
      </c>
      <c r="F44" s="12" t="s">
        <v>0</v>
      </c>
      <c r="G44" s="12"/>
      <c r="H44" s="12"/>
      <c r="I44" s="12" t="s">
        <v>17</v>
      </c>
      <c r="J44" s="31">
        <f t="shared" si="0"/>
        <v>72600</v>
      </c>
    </row>
    <row r="45" spans="2:10" x14ac:dyDescent="0.2">
      <c r="B45" s="30">
        <v>100410</v>
      </c>
      <c r="C45" s="9">
        <f t="shared" si="2"/>
        <v>43845</v>
      </c>
      <c r="D45" s="87">
        <v>43845</v>
      </c>
      <c r="E45" s="7">
        <v>24200</v>
      </c>
      <c r="F45" s="12" t="s">
        <v>0</v>
      </c>
      <c r="G45" s="12"/>
      <c r="H45" s="12"/>
      <c r="I45" s="12" t="s">
        <v>17</v>
      </c>
      <c r="J45" s="31">
        <f t="shared" si="0"/>
        <v>96800</v>
      </c>
    </row>
    <row r="46" spans="2:10" x14ac:dyDescent="0.2">
      <c r="B46" s="30">
        <v>100420</v>
      </c>
      <c r="C46" s="9">
        <f t="shared" si="2"/>
        <v>43876</v>
      </c>
      <c r="D46" s="87">
        <v>43876</v>
      </c>
      <c r="E46" s="7">
        <v>24200</v>
      </c>
      <c r="F46" s="12" t="s">
        <v>0</v>
      </c>
      <c r="G46" s="12"/>
      <c r="H46" s="12"/>
      <c r="I46" s="12" t="s">
        <v>17</v>
      </c>
      <c r="J46" s="31">
        <f t="shared" si="0"/>
        <v>121000</v>
      </c>
    </row>
    <row r="47" spans="2:10" x14ac:dyDescent="0.2">
      <c r="B47" s="30">
        <v>100430</v>
      </c>
      <c r="C47" s="9">
        <f t="shared" si="2"/>
        <v>43905</v>
      </c>
      <c r="D47" s="87">
        <v>43905</v>
      </c>
      <c r="E47" s="7">
        <v>24200</v>
      </c>
      <c r="F47" s="12" t="s">
        <v>0</v>
      </c>
      <c r="G47" s="12"/>
      <c r="H47" s="12"/>
      <c r="I47" s="12" t="s">
        <v>17</v>
      </c>
      <c r="J47" s="31">
        <f t="shared" si="0"/>
        <v>145200</v>
      </c>
    </row>
    <row r="48" spans="2:10" x14ac:dyDescent="0.2">
      <c r="B48" s="30">
        <v>100440</v>
      </c>
      <c r="C48" s="9">
        <f t="shared" si="2"/>
        <v>43936</v>
      </c>
      <c r="D48" s="87">
        <v>43936</v>
      </c>
      <c r="E48" s="7">
        <v>24200</v>
      </c>
      <c r="F48" s="12" t="s">
        <v>0</v>
      </c>
      <c r="G48" s="12"/>
      <c r="H48" s="12"/>
      <c r="I48" s="12" t="s">
        <v>17</v>
      </c>
      <c r="J48" s="31">
        <f t="shared" si="0"/>
        <v>169400</v>
      </c>
    </row>
    <row r="49" spans="2:10" x14ac:dyDescent="0.2">
      <c r="B49" s="30">
        <v>100450</v>
      </c>
      <c r="C49" s="9">
        <f t="shared" si="2"/>
        <v>43966</v>
      </c>
      <c r="D49" s="87">
        <v>43966</v>
      </c>
      <c r="E49" s="7">
        <v>24200</v>
      </c>
      <c r="F49" s="12" t="s">
        <v>0</v>
      </c>
      <c r="G49" s="12"/>
      <c r="H49" s="12"/>
      <c r="I49" s="12" t="s">
        <v>17</v>
      </c>
      <c r="J49" s="31">
        <f t="shared" si="0"/>
        <v>193600</v>
      </c>
    </row>
    <row r="50" spans="2:10" x14ac:dyDescent="0.2">
      <c r="B50" s="30">
        <v>100460</v>
      </c>
      <c r="C50" s="9">
        <f t="shared" si="2"/>
        <v>43997</v>
      </c>
      <c r="D50" s="87">
        <v>43997</v>
      </c>
      <c r="E50" s="7">
        <v>24200</v>
      </c>
      <c r="F50" s="12" t="s">
        <v>0</v>
      </c>
      <c r="G50" s="12"/>
      <c r="H50" s="12"/>
      <c r="I50" s="12" t="s">
        <v>17</v>
      </c>
      <c r="J50" s="31">
        <f t="shared" si="0"/>
        <v>217800</v>
      </c>
    </row>
    <row r="51" spans="2:10" x14ac:dyDescent="0.2">
      <c r="B51" s="30">
        <v>100470</v>
      </c>
      <c r="C51" s="9">
        <f t="shared" si="2"/>
        <v>44027</v>
      </c>
      <c r="D51" s="87">
        <v>44027</v>
      </c>
      <c r="E51" s="7">
        <v>24200</v>
      </c>
      <c r="F51" s="12" t="s">
        <v>0</v>
      </c>
      <c r="G51" s="12"/>
      <c r="H51" s="12"/>
      <c r="I51" s="12" t="s">
        <v>17</v>
      </c>
      <c r="J51" s="31">
        <f t="shared" si="0"/>
        <v>242000</v>
      </c>
    </row>
    <row r="52" spans="2:10" x14ac:dyDescent="0.2">
      <c r="B52" s="30">
        <v>100480</v>
      </c>
      <c r="C52" s="9"/>
      <c r="D52" s="87">
        <v>44027</v>
      </c>
      <c r="E52" s="7">
        <v>-171600</v>
      </c>
      <c r="F52" s="12" t="s">
        <v>45</v>
      </c>
      <c r="G52" s="12" t="s">
        <v>53</v>
      </c>
      <c r="H52" s="12"/>
      <c r="I52" s="12" t="s">
        <v>17</v>
      </c>
      <c r="J52" s="31">
        <f t="shared" si="0"/>
        <v>70400</v>
      </c>
    </row>
    <row r="53" spans="2:10" x14ac:dyDescent="0.2">
      <c r="B53" s="30">
        <v>100490</v>
      </c>
      <c r="C53" s="9"/>
      <c r="D53" s="87">
        <v>44043</v>
      </c>
      <c r="E53" s="7">
        <v>-118800</v>
      </c>
      <c r="F53" s="12" t="s">
        <v>45</v>
      </c>
      <c r="G53" s="12" t="s">
        <v>52</v>
      </c>
      <c r="H53" s="12"/>
      <c r="I53" s="12" t="s">
        <v>17</v>
      </c>
      <c r="J53" s="31">
        <f t="shared" si="0"/>
        <v>-48400</v>
      </c>
    </row>
    <row r="54" spans="2:10" x14ac:dyDescent="0.2">
      <c r="B54" s="30">
        <v>100500</v>
      </c>
      <c r="C54" s="9">
        <f>D54</f>
        <v>44058</v>
      </c>
      <c r="D54" s="87">
        <v>44058</v>
      </c>
      <c r="E54" s="7">
        <v>24200</v>
      </c>
      <c r="F54" s="12" t="s">
        <v>0</v>
      </c>
      <c r="G54" s="12"/>
      <c r="H54" s="12"/>
      <c r="I54" s="12" t="s">
        <v>17</v>
      </c>
      <c r="J54" s="31">
        <f t="shared" si="0"/>
        <v>-24200</v>
      </c>
    </row>
    <row r="55" spans="2:10" ht="17" thickBot="1" x14ac:dyDescent="0.25">
      <c r="B55" s="32">
        <v>100510</v>
      </c>
      <c r="C55" s="33">
        <f>D55</f>
        <v>44089</v>
      </c>
      <c r="D55" s="82">
        <v>44089</v>
      </c>
      <c r="E55" s="6">
        <v>24200</v>
      </c>
      <c r="F55" s="10" t="s">
        <v>0</v>
      </c>
      <c r="G55" s="10"/>
      <c r="H55" s="10"/>
      <c r="I55" s="10" t="s">
        <v>17</v>
      </c>
      <c r="J55" s="34">
        <f t="shared" si="0"/>
        <v>0</v>
      </c>
    </row>
    <row r="56" spans="2:10" ht="17" thickTop="1" x14ac:dyDescent="0.2">
      <c r="B56" s="37">
        <v>100520</v>
      </c>
      <c r="C56" s="9">
        <f>D56</f>
        <v>44119</v>
      </c>
      <c r="D56" s="87">
        <v>44119</v>
      </c>
      <c r="E56" s="7">
        <v>26600</v>
      </c>
      <c r="F56" s="12" t="s">
        <v>0</v>
      </c>
      <c r="G56" s="12"/>
      <c r="H56" s="12"/>
      <c r="I56" s="12" t="s">
        <v>17</v>
      </c>
      <c r="J56" s="13">
        <f t="shared" si="0"/>
        <v>26600</v>
      </c>
    </row>
    <row r="57" spans="2:10" x14ac:dyDescent="0.2">
      <c r="B57" s="37">
        <v>100530</v>
      </c>
      <c r="C57" s="9"/>
      <c r="D57" s="87">
        <v>44120</v>
      </c>
      <c r="E57" s="7">
        <v>0</v>
      </c>
      <c r="F57" s="12" t="s">
        <v>44</v>
      </c>
      <c r="G57" s="12" t="s">
        <v>55</v>
      </c>
      <c r="H57" s="12"/>
      <c r="I57" s="12" t="s">
        <v>17</v>
      </c>
      <c r="J57" s="13">
        <f t="shared" si="0"/>
        <v>26600</v>
      </c>
    </row>
    <row r="58" spans="2:10" x14ac:dyDescent="0.2">
      <c r="B58" s="37">
        <v>100540</v>
      </c>
      <c r="C58" s="9">
        <f>D58</f>
        <v>44150</v>
      </c>
      <c r="D58" s="87">
        <v>44150</v>
      </c>
      <c r="E58" s="7">
        <v>26600</v>
      </c>
      <c r="F58" s="12" t="s">
        <v>0</v>
      </c>
      <c r="G58" s="12"/>
      <c r="H58" s="12"/>
      <c r="I58" s="12" t="s">
        <v>17</v>
      </c>
      <c r="J58" s="13">
        <f t="shared" si="0"/>
        <v>53200</v>
      </c>
    </row>
    <row r="59" spans="2:10" x14ac:dyDescent="0.2">
      <c r="B59" s="37">
        <v>100550</v>
      </c>
      <c r="C59" s="9"/>
      <c r="D59" s="87">
        <v>44173</v>
      </c>
      <c r="E59" s="7">
        <v>-15600</v>
      </c>
      <c r="F59" s="12" t="s">
        <v>54</v>
      </c>
      <c r="G59" s="12"/>
      <c r="H59" s="12"/>
      <c r="I59" s="12" t="s">
        <v>17</v>
      </c>
      <c r="J59" s="13">
        <f t="shared" si="0"/>
        <v>37600</v>
      </c>
    </row>
    <row r="60" spans="2:10" x14ac:dyDescent="0.2">
      <c r="B60" s="37">
        <v>100560</v>
      </c>
      <c r="C60" s="9">
        <f>D60</f>
        <v>44180</v>
      </c>
      <c r="D60" s="87">
        <v>44180</v>
      </c>
      <c r="E60" s="7">
        <v>26600</v>
      </c>
      <c r="F60" s="12" t="s">
        <v>0</v>
      </c>
      <c r="G60" s="12"/>
      <c r="H60" s="12"/>
      <c r="I60" s="12" t="s">
        <v>17</v>
      </c>
      <c r="J60" s="13">
        <f t="shared" si="0"/>
        <v>64200</v>
      </c>
    </row>
    <row r="61" spans="2:10" x14ac:dyDescent="0.2">
      <c r="B61" s="37">
        <v>100570</v>
      </c>
      <c r="C61" s="9"/>
      <c r="D61" s="87">
        <v>44187</v>
      </c>
      <c r="E61" s="7">
        <v>-15600</v>
      </c>
      <c r="F61" s="12" t="s">
        <v>54</v>
      </c>
      <c r="G61" s="12"/>
      <c r="H61" s="12"/>
      <c r="I61" s="12" t="s">
        <v>17</v>
      </c>
      <c r="J61" s="13">
        <f t="shared" si="0"/>
        <v>48600</v>
      </c>
    </row>
    <row r="62" spans="2:10" x14ac:dyDescent="0.2">
      <c r="B62" s="37">
        <v>100580</v>
      </c>
      <c r="C62" s="9">
        <f>D62</f>
        <v>44211</v>
      </c>
      <c r="D62" s="87">
        <v>44211</v>
      </c>
      <c r="E62" s="7">
        <v>26600</v>
      </c>
      <c r="F62" s="12" t="s">
        <v>0</v>
      </c>
      <c r="G62" s="12"/>
      <c r="H62" s="12"/>
      <c r="I62" s="12" t="s">
        <v>17</v>
      </c>
      <c r="J62" s="13">
        <f t="shared" si="0"/>
        <v>75200</v>
      </c>
    </row>
    <row r="63" spans="2:10" x14ac:dyDescent="0.2">
      <c r="B63" s="37">
        <v>100590</v>
      </c>
      <c r="C63" s="12"/>
      <c r="D63" s="87">
        <v>44221</v>
      </c>
      <c r="E63" s="7">
        <v>-15600</v>
      </c>
      <c r="F63" s="12" t="s">
        <v>54</v>
      </c>
      <c r="G63" s="12"/>
      <c r="H63" s="12"/>
      <c r="I63" s="12" t="s">
        <v>17</v>
      </c>
      <c r="J63" s="13">
        <f t="shared" si="0"/>
        <v>59600</v>
      </c>
    </row>
    <row r="64" spans="2:10" x14ac:dyDescent="0.2">
      <c r="B64" s="37">
        <v>100600</v>
      </c>
      <c r="C64" s="9">
        <f>D64</f>
        <v>44242</v>
      </c>
      <c r="D64" s="87">
        <v>44242</v>
      </c>
      <c r="E64" s="7">
        <v>26600</v>
      </c>
      <c r="F64" s="12" t="s">
        <v>0</v>
      </c>
      <c r="G64" s="12"/>
      <c r="H64" s="12"/>
      <c r="I64" s="12" t="s">
        <v>17</v>
      </c>
      <c r="J64" s="13">
        <f t="shared" si="0"/>
        <v>86200</v>
      </c>
    </row>
    <row r="65" spans="2:10" x14ac:dyDescent="0.2">
      <c r="B65" s="37">
        <v>100610</v>
      </c>
      <c r="C65" s="12"/>
      <c r="D65" s="87">
        <v>44267</v>
      </c>
      <c r="E65" s="7">
        <v>-15600</v>
      </c>
      <c r="F65" s="12" t="s">
        <v>54</v>
      </c>
      <c r="G65" s="12"/>
      <c r="H65" s="12"/>
      <c r="I65" s="12" t="s">
        <v>17</v>
      </c>
      <c r="J65" s="13">
        <f t="shared" si="0"/>
        <v>70600</v>
      </c>
    </row>
    <row r="66" spans="2:10" x14ac:dyDescent="0.2">
      <c r="B66" s="37">
        <v>100620</v>
      </c>
      <c r="C66" s="9">
        <f>D66</f>
        <v>44270</v>
      </c>
      <c r="D66" s="87">
        <v>44270</v>
      </c>
      <c r="E66" s="7">
        <v>26600</v>
      </c>
      <c r="F66" s="12" t="s">
        <v>0</v>
      </c>
      <c r="G66" s="12"/>
      <c r="H66" s="12"/>
      <c r="I66" s="12" t="s">
        <v>17</v>
      </c>
      <c r="J66" s="13">
        <f t="shared" si="0"/>
        <v>97200</v>
      </c>
    </row>
    <row r="67" spans="2:10" x14ac:dyDescent="0.2">
      <c r="B67" s="37">
        <v>100630</v>
      </c>
      <c r="C67" s="9">
        <f>D67</f>
        <v>44301</v>
      </c>
      <c r="D67" s="87">
        <v>44301</v>
      </c>
      <c r="E67" s="7">
        <v>26600</v>
      </c>
      <c r="F67" s="12" t="s">
        <v>0</v>
      </c>
      <c r="G67" s="12"/>
      <c r="H67" s="12"/>
      <c r="I67" s="12" t="s">
        <v>17</v>
      </c>
      <c r="J67" s="13">
        <f t="shared" si="0"/>
        <v>123800</v>
      </c>
    </row>
    <row r="68" spans="2:10" x14ac:dyDescent="0.2">
      <c r="B68" s="37">
        <v>100640</v>
      </c>
      <c r="C68" s="9">
        <f>D68</f>
        <v>44331</v>
      </c>
      <c r="D68" s="87">
        <v>44331</v>
      </c>
      <c r="E68" s="7">
        <v>26600</v>
      </c>
      <c r="F68" s="12" t="s">
        <v>0</v>
      </c>
      <c r="G68" s="2"/>
      <c r="H68" s="2"/>
      <c r="I68" s="12" t="s">
        <v>17</v>
      </c>
      <c r="J68" s="13">
        <f t="shared" si="0"/>
        <v>150400</v>
      </c>
    </row>
    <row r="69" spans="2:10" x14ac:dyDescent="0.2">
      <c r="B69" s="37">
        <v>100650</v>
      </c>
      <c r="C69" s="9"/>
      <c r="D69" s="87">
        <v>44336</v>
      </c>
      <c r="E69" s="7">
        <f>-26600*2</f>
        <v>-53200</v>
      </c>
      <c r="F69" s="12" t="s">
        <v>69</v>
      </c>
      <c r="G69" s="12" t="s">
        <v>70</v>
      </c>
      <c r="H69" s="12"/>
      <c r="I69" s="12" t="s">
        <v>17</v>
      </c>
      <c r="J69" s="13">
        <f t="shared" si="0"/>
        <v>97200</v>
      </c>
    </row>
    <row r="70" spans="2:10" x14ac:dyDescent="0.2">
      <c r="B70" s="37">
        <v>100660</v>
      </c>
      <c r="C70" s="9"/>
      <c r="D70" s="87">
        <v>44336</v>
      </c>
      <c r="E70" s="7">
        <v>0</v>
      </c>
      <c r="F70" s="12" t="s">
        <v>44</v>
      </c>
      <c r="G70" s="12" t="s">
        <v>67</v>
      </c>
      <c r="H70" s="12"/>
      <c r="I70" s="12"/>
      <c r="J70" s="13">
        <f t="shared" si="0"/>
        <v>97200</v>
      </c>
    </row>
    <row r="71" spans="2:10" x14ac:dyDescent="0.2">
      <c r="B71" s="37">
        <v>100670</v>
      </c>
      <c r="C71" s="2"/>
      <c r="D71" s="87">
        <v>44347</v>
      </c>
      <c r="E71" s="7">
        <v>-66000</v>
      </c>
      <c r="F71" s="12" t="s">
        <v>73</v>
      </c>
      <c r="G71" s="12" t="s">
        <v>68</v>
      </c>
      <c r="H71" s="12"/>
      <c r="I71" s="12" t="s">
        <v>17</v>
      </c>
      <c r="J71" s="13">
        <f t="shared" si="0"/>
        <v>31200</v>
      </c>
    </row>
    <row r="72" spans="2:10" x14ac:dyDescent="0.2">
      <c r="B72" s="37">
        <v>100680</v>
      </c>
      <c r="C72" s="9">
        <f>D72</f>
        <v>44362</v>
      </c>
      <c r="D72" s="87">
        <v>44362</v>
      </c>
      <c r="E72" s="5">
        <v>26600</v>
      </c>
      <c r="F72" s="12" t="s">
        <v>0</v>
      </c>
      <c r="G72" s="2"/>
      <c r="H72" s="2"/>
      <c r="I72" s="12" t="s">
        <v>17</v>
      </c>
      <c r="J72" s="13">
        <f t="shared" si="0"/>
        <v>57800</v>
      </c>
    </row>
    <row r="73" spans="2:10" x14ac:dyDescent="0.2">
      <c r="B73" s="21">
        <v>100690</v>
      </c>
      <c r="C73" s="17">
        <f>D73</f>
        <v>44392</v>
      </c>
      <c r="D73" s="88">
        <v>44392</v>
      </c>
      <c r="E73" s="46">
        <v>0</v>
      </c>
      <c r="F73" s="18" t="s">
        <v>75</v>
      </c>
      <c r="G73" s="4"/>
      <c r="H73" s="4"/>
      <c r="I73" s="18" t="s">
        <v>17</v>
      </c>
      <c r="J73" s="47">
        <f t="shared" si="0"/>
        <v>57800</v>
      </c>
    </row>
    <row r="74" spans="2:10" x14ac:dyDescent="0.2">
      <c r="B74" s="21">
        <v>100700</v>
      </c>
      <c r="C74" s="17"/>
      <c r="D74" s="88">
        <v>44411</v>
      </c>
      <c r="E74" s="11">
        <v>-57800</v>
      </c>
      <c r="F74" s="18" t="s">
        <v>74</v>
      </c>
      <c r="G74" s="18" t="s">
        <v>71</v>
      </c>
      <c r="H74" s="18"/>
      <c r="I74" s="18" t="s">
        <v>17</v>
      </c>
      <c r="J74" s="47">
        <f t="shared" ref="J74" si="3">E74+J73</f>
        <v>0</v>
      </c>
    </row>
    <row r="75" spans="2:10" x14ac:dyDescent="0.2">
      <c r="B75" s="21">
        <v>100710</v>
      </c>
      <c r="C75" s="4"/>
      <c r="D75" s="89">
        <v>44483</v>
      </c>
      <c r="E75" s="46">
        <v>0</v>
      </c>
      <c r="F75" s="4" t="s">
        <v>56</v>
      </c>
      <c r="G75" s="4"/>
      <c r="H75" s="4"/>
      <c r="I75" s="4"/>
      <c r="J75" s="38"/>
    </row>
    <row r="76" spans="2:10" x14ac:dyDescent="0.2">
      <c r="B76" s="22">
        <v>101010</v>
      </c>
      <c r="C76" s="2"/>
      <c r="D76" s="79">
        <v>44391</v>
      </c>
      <c r="E76" s="5">
        <v>0</v>
      </c>
      <c r="F76" s="2" t="s">
        <v>62</v>
      </c>
      <c r="G76" s="2" t="s">
        <v>76</v>
      </c>
      <c r="H76" s="2" t="s">
        <v>88</v>
      </c>
      <c r="I76" s="2" t="s">
        <v>77</v>
      </c>
      <c r="J76" s="3">
        <f>E76</f>
        <v>0</v>
      </c>
    </row>
    <row r="77" spans="2:10" x14ac:dyDescent="0.2">
      <c r="B77" s="22">
        <v>101020</v>
      </c>
      <c r="C77" s="9"/>
      <c r="D77" s="79">
        <v>44391</v>
      </c>
      <c r="E77" s="5">
        <v>0</v>
      </c>
      <c r="F77" s="2" t="s">
        <v>3</v>
      </c>
      <c r="G77" s="2" t="s">
        <v>79</v>
      </c>
      <c r="H77" s="2" t="s">
        <v>89</v>
      </c>
      <c r="I77" s="2" t="s">
        <v>77</v>
      </c>
      <c r="J77" s="13">
        <f t="shared" ref="J77:J96" si="4">E77+J76</f>
        <v>0</v>
      </c>
    </row>
    <row r="78" spans="2:10" x14ac:dyDescent="0.2">
      <c r="B78" s="22">
        <v>101030</v>
      </c>
      <c r="C78" s="9"/>
      <c r="D78" s="79">
        <v>44391</v>
      </c>
      <c r="E78" s="5">
        <f>-(38000-15600)*2</f>
        <v>-44800</v>
      </c>
      <c r="F78" s="2" t="s">
        <v>3</v>
      </c>
      <c r="G78" s="2" t="s">
        <v>78</v>
      </c>
      <c r="H78" s="2" t="s">
        <v>89</v>
      </c>
      <c r="I78" s="2" t="s">
        <v>77</v>
      </c>
      <c r="J78" s="13">
        <f t="shared" si="4"/>
        <v>-44800</v>
      </c>
    </row>
    <row r="79" spans="2:10" ht="17" x14ac:dyDescent="0.2">
      <c r="B79" s="22">
        <v>101040</v>
      </c>
      <c r="C79" s="9"/>
      <c r="D79" s="79">
        <v>44391</v>
      </c>
      <c r="E79" s="7">
        <f>-15600*2</f>
        <v>-31200</v>
      </c>
      <c r="F79" s="12" t="s">
        <v>23</v>
      </c>
      <c r="G79" s="20" t="s">
        <v>66</v>
      </c>
      <c r="H79" s="20" t="s">
        <v>90</v>
      </c>
      <c r="I79" s="2" t="s">
        <v>77</v>
      </c>
      <c r="J79" s="13">
        <f t="shared" si="4"/>
        <v>-76000</v>
      </c>
    </row>
    <row r="80" spans="2:10" x14ac:dyDescent="0.2">
      <c r="B80" s="22">
        <v>101050</v>
      </c>
      <c r="C80" s="9">
        <f>D80</f>
        <v>44409</v>
      </c>
      <c r="D80" s="79">
        <v>44409</v>
      </c>
      <c r="E80" s="5">
        <v>38000</v>
      </c>
      <c r="F80" s="2" t="s">
        <v>0</v>
      </c>
      <c r="G80" s="2"/>
      <c r="H80" s="2" t="s">
        <v>88</v>
      </c>
      <c r="I80" s="2" t="s">
        <v>77</v>
      </c>
      <c r="J80" s="13">
        <f t="shared" si="4"/>
        <v>-38000</v>
      </c>
    </row>
    <row r="81" spans="2:15" x14ac:dyDescent="0.2">
      <c r="B81" s="22">
        <v>101060</v>
      </c>
      <c r="C81" s="2"/>
      <c r="D81" s="79"/>
      <c r="E81" s="5">
        <v>0</v>
      </c>
      <c r="F81" s="2" t="s">
        <v>3</v>
      </c>
      <c r="G81" s="2"/>
      <c r="H81" s="2" t="s">
        <v>88</v>
      </c>
      <c r="I81" s="2" t="s">
        <v>77</v>
      </c>
      <c r="J81" s="13">
        <f t="shared" si="4"/>
        <v>-38000</v>
      </c>
    </row>
    <row r="82" spans="2:15" x14ac:dyDescent="0.2">
      <c r="B82" s="22">
        <v>101070</v>
      </c>
      <c r="C82" s="2"/>
      <c r="D82" s="79"/>
      <c r="E82" s="5">
        <v>0</v>
      </c>
      <c r="F82" s="2" t="s">
        <v>2</v>
      </c>
      <c r="G82" s="2"/>
      <c r="H82" s="2" t="s">
        <v>88</v>
      </c>
      <c r="I82" s="2" t="s">
        <v>77</v>
      </c>
      <c r="J82" s="13">
        <f t="shared" si="4"/>
        <v>-38000</v>
      </c>
    </row>
    <row r="83" spans="2:15" x14ac:dyDescent="0.2">
      <c r="B83" s="22">
        <v>101080</v>
      </c>
      <c r="C83" s="9">
        <f>D83</f>
        <v>44440</v>
      </c>
      <c r="D83" s="79">
        <v>44440</v>
      </c>
      <c r="E83" s="5">
        <v>38000</v>
      </c>
      <c r="F83" s="2" t="s">
        <v>0</v>
      </c>
      <c r="G83" s="2"/>
      <c r="H83" s="2" t="s">
        <v>88</v>
      </c>
      <c r="I83" s="2" t="s">
        <v>77</v>
      </c>
      <c r="J83" s="13">
        <f t="shared" si="4"/>
        <v>0</v>
      </c>
    </row>
    <row r="84" spans="2:15" x14ac:dyDescent="0.2">
      <c r="B84" s="22">
        <v>101090</v>
      </c>
      <c r="C84" s="2"/>
      <c r="D84" s="79"/>
      <c r="E84" s="5">
        <v>0</v>
      </c>
      <c r="F84" s="2" t="s">
        <v>3</v>
      </c>
      <c r="G84" s="2"/>
      <c r="H84" s="2" t="s">
        <v>88</v>
      </c>
      <c r="I84" s="2" t="s">
        <v>77</v>
      </c>
      <c r="J84" s="13">
        <f t="shared" si="4"/>
        <v>0</v>
      </c>
    </row>
    <row r="85" spans="2:15" x14ac:dyDescent="0.2">
      <c r="B85" s="22">
        <v>101100</v>
      </c>
      <c r="C85" s="2"/>
      <c r="D85" s="79"/>
      <c r="E85" s="5">
        <v>0</v>
      </c>
      <c r="F85" s="2" t="s">
        <v>2</v>
      </c>
      <c r="G85" s="2"/>
      <c r="H85" s="2" t="s">
        <v>88</v>
      </c>
      <c r="I85" s="2" t="s">
        <v>77</v>
      </c>
      <c r="J85" s="13">
        <f t="shared" si="4"/>
        <v>0</v>
      </c>
    </row>
    <row r="86" spans="2:15" x14ac:dyDescent="0.2">
      <c r="B86" s="39">
        <v>101110</v>
      </c>
      <c r="C86" s="40">
        <f t="shared" ref="C86" si="5">D86</f>
        <v>44470</v>
      </c>
      <c r="D86" s="81">
        <v>44470</v>
      </c>
      <c r="E86" s="52">
        <v>0</v>
      </c>
      <c r="F86" s="41" t="s">
        <v>0</v>
      </c>
      <c r="G86" s="41"/>
      <c r="H86" s="41"/>
      <c r="I86" s="41" t="s">
        <v>100</v>
      </c>
      <c r="J86" s="53">
        <f t="shared" si="4"/>
        <v>0</v>
      </c>
      <c r="M86" s="1"/>
      <c r="O86" s="1"/>
    </row>
    <row r="87" spans="2:15" x14ac:dyDescent="0.2">
      <c r="B87" s="39">
        <v>101140</v>
      </c>
      <c r="C87" s="40">
        <f t="shared" ref="C87:C96" si="6">D87</f>
        <v>44501</v>
      </c>
      <c r="D87" s="81">
        <v>44501</v>
      </c>
      <c r="E87" s="52">
        <v>0</v>
      </c>
      <c r="F87" s="41" t="s">
        <v>0</v>
      </c>
      <c r="G87" s="41"/>
      <c r="H87" s="41"/>
      <c r="I87" s="41"/>
      <c r="J87" s="53">
        <f t="shared" si="4"/>
        <v>0</v>
      </c>
    </row>
    <row r="88" spans="2:15" x14ac:dyDescent="0.2">
      <c r="B88" s="39">
        <v>101170</v>
      </c>
      <c r="C88" s="40">
        <f t="shared" si="6"/>
        <v>44531</v>
      </c>
      <c r="D88" s="81">
        <v>44531</v>
      </c>
      <c r="E88" s="52">
        <v>0</v>
      </c>
      <c r="F88" s="41" t="s">
        <v>0</v>
      </c>
      <c r="G88" s="41"/>
      <c r="H88" s="41"/>
      <c r="I88" s="41"/>
      <c r="J88" s="53">
        <f t="shared" si="4"/>
        <v>0</v>
      </c>
    </row>
    <row r="89" spans="2:15" x14ac:dyDescent="0.2">
      <c r="B89" s="39">
        <v>101200</v>
      </c>
      <c r="C89" s="40">
        <f t="shared" si="6"/>
        <v>44562</v>
      </c>
      <c r="D89" s="81">
        <v>44562</v>
      </c>
      <c r="E89" s="52">
        <v>0</v>
      </c>
      <c r="F89" s="41" t="s">
        <v>0</v>
      </c>
      <c r="G89" s="41"/>
      <c r="H89" s="41"/>
      <c r="I89" s="41"/>
      <c r="J89" s="53">
        <f t="shared" si="4"/>
        <v>0</v>
      </c>
    </row>
    <row r="90" spans="2:15" x14ac:dyDescent="0.2">
      <c r="B90" s="39">
        <v>101230</v>
      </c>
      <c r="C90" s="40">
        <f t="shared" si="6"/>
        <v>44593</v>
      </c>
      <c r="D90" s="81">
        <v>44593</v>
      </c>
      <c r="E90" s="52">
        <v>0</v>
      </c>
      <c r="F90" s="41" t="s">
        <v>0</v>
      </c>
      <c r="G90" s="41"/>
      <c r="H90" s="41"/>
      <c r="I90" s="41"/>
      <c r="J90" s="53">
        <f t="shared" si="4"/>
        <v>0</v>
      </c>
    </row>
    <row r="91" spans="2:15" x14ac:dyDescent="0.2">
      <c r="B91" s="39">
        <v>101260</v>
      </c>
      <c r="C91" s="40">
        <f t="shared" si="6"/>
        <v>44621</v>
      </c>
      <c r="D91" s="81">
        <v>44621</v>
      </c>
      <c r="E91" s="52">
        <v>0</v>
      </c>
      <c r="F91" s="41" t="s">
        <v>0</v>
      </c>
      <c r="G91" s="41"/>
      <c r="H91" s="41"/>
      <c r="I91" s="41"/>
      <c r="J91" s="53">
        <f t="shared" si="4"/>
        <v>0</v>
      </c>
    </row>
    <row r="92" spans="2:15" x14ac:dyDescent="0.2">
      <c r="B92" s="39">
        <v>101290</v>
      </c>
      <c r="C92" s="40">
        <f t="shared" si="6"/>
        <v>44652</v>
      </c>
      <c r="D92" s="81">
        <v>44652</v>
      </c>
      <c r="E92" s="52">
        <v>0</v>
      </c>
      <c r="F92" s="41" t="s">
        <v>0</v>
      </c>
      <c r="G92" s="41"/>
      <c r="H92" s="41"/>
      <c r="I92" s="41"/>
      <c r="J92" s="53">
        <f t="shared" si="4"/>
        <v>0</v>
      </c>
    </row>
    <row r="93" spans="2:15" x14ac:dyDescent="0.2">
      <c r="B93" s="39">
        <v>101320</v>
      </c>
      <c r="C93" s="40">
        <f t="shared" si="6"/>
        <v>44682</v>
      </c>
      <c r="D93" s="81">
        <v>44682</v>
      </c>
      <c r="E93" s="52">
        <v>0</v>
      </c>
      <c r="F93" s="41" t="s">
        <v>0</v>
      </c>
      <c r="G93" s="41"/>
      <c r="H93" s="41"/>
      <c r="I93" s="41"/>
      <c r="J93" s="53">
        <f t="shared" si="4"/>
        <v>0</v>
      </c>
    </row>
    <row r="94" spans="2:15" x14ac:dyDescent="0.2">
      <c r="B94" s="39">
        <v>101350</v>
      </c>
      <c r="C94" s="40">
        <f t="shared" si="6"/>
        <v>44713</v>
      </c>
      <c r="D94" s="81">
        <v>44713</v>
      </c>
      <c r="E94" s="52">
        <v>0</v>
      </c>
      <c r="F94" s="41" t="s">
        <v>0</v>
      </c>
      <c r="G94" s="41"/>
      <c r="H94" s="41"/>
      <c r="I94" s="41"/>
      <c r="J94" s="53">
        <f t="shared" si="4"/>
        <v>0</v>
      </c>
    </row>
    <row r="95" spans="2:15" x14ac:dyDescent="0.2">
      <c r="B95" s="39">
        <v>101380</v>
      </c>
      <c r="C95" s="40">
        <f t="shared" si="6"/>
        <v>44743</v>
      </c>
      <c r="D95" s="81">
        <v>44743</v>
      </c>
      <c r="E95" s="52">
        <v>0</v>
      </c>
      <c r="F95" s="41" t="s">
        <v>0</v>
      </c>
      <c r="G95" s="41"/>
      <c r="H95" s="41"/>
      <c r="I95" s="41"/>
      <c r="J95" s="53">
        <f t="shared" si="4"/>
        <v>0</v>
      </c>
    </row>
    <row r="96" spans="2:15" x14ac:dyDescent="0.2">
      <c r="B96" s="39">
        <v>101410</v>
      </c>
      <c r="C96" s="40">
        <f t="shared" si="6"/>
        <v>44774</v>
      </c>
      <c r="D96" s="81">
        <v>44774</v>
      </c>
      <c r="E96" s="52">
        <v>0</v>
      </c>
      <c r="F96" s="41" t="s">
        <v>0</v>
      </c>
      <c r="G96" s="41"/>
      <c r="H96" s="41"/>
      <c r="I96" s="41"/>
      <c r="J96" s="53">
        <f t="shared" si="4"/>
        <v>0</v>
      </c>
    </row>
    <row r="97" spans="2:10" x14ac:dyDescent="0.2">
      <c r="B97" s="70">
        <v>101420</v>
      </c>
      <c r="C97" s="71"/>
      <c r="D97" s="90">
        <v>44810</v>
      </c>
      <c r="E97" s="72">
        <v>-51000</v>
      </c>
      <c r="F97" s="63" t="s">
        <v>3</v>
      </c>
      <c r="G97" s="63" t="s">
        <v>106</v>
      </c>
      <c r="H97" s="71"/>
      <c r="I97" s="73" t="s">
        <v>99</v>
      </c>
      <c r="J97" s="74">
        <v>0</v>
      </c>
    </row>
    <row r="98" spans="2:10" x14ac:dyDescent="0.2">
      <c r="B98" s="70">
        <v>101430</v>
      </c>
      <c r="C98" s="71"/>
      <c r="D98" s="90">
        <v>44810</v>
      </c>
      <c r="E98" s="72">
        <v>-49000</v>
      </c>
      <c r="F98" s="63" t="s">
        <v>3</v>
      </c>
      <c r="G98" s="63" t="s">
        <v>103</v>
      </c>
      <c r="H98" s="71"/>
      <c r="I98" s="73"/>
      <c r="J98" s="74">
        <f t="shared" ref="J98:J109" si="7">E98+J97</f>
        <v>-49000</v>
      </c>
    </row>
    <row r="99" spans="2:10" x14ac:dyDescent="0.2">
      <c r="B99" s="70">
        <v>101440</v>
      </c>
      <c r="C99" s="71"/>
      <c r="D99" s="90">
        <v>44817</v>
      </c>
      <c r="E99" s="75">
        <v>-8000</v>
      </c>
      <c r="F99" s="63" t="s">
        <v>3</v>
      </c>
      <c r="G99" s="63" t="s">
        <v>104</v>
      </c>
      <c r="H99" s="71"/>
      <c r="I99" s="73" t="s">
        <v>99</v>
      </c>
      <c r="J99" s="74">
        <f t="shared" si="7"/>
        <v>-57000</v>
      </c>
    </row>
    <row r="100" spans="2:10" ht="17" x14ac:dyDescent="0.2">
      <c r="B100" s="22">
        <v>101450</v>
      </c>
      <c r="C100" s="2"/>
      <c r="D100" s="79">
        <v>44817</v>
      </c>
      <c r="E100" s="7">
        <v>-45000</v>
      </c>
      <c r="F100" s="12" t="s">
        <v>101</v>
      </c>
      <c r="G100" s="20" t="s">
        <v>102</v>
      </c>
      <c r="H100" s="2"/>
      <c r="I100" s="2" t="s">
        <v>99</v>
      </c>
      <c r="J100" s="13">
        <f t="shared" si="7"/>
        <v>-102000</v>
      </c>
    </row>
    <row r="101" spans="2:10" x14ac:dyDescent="0.2">
      <c r="B101" s="22">
        <v>101460</v>
      </c>
      <c r="C101" s="9">
        <f>Table149[[#This Row],[Tarih]]+1</f>
        <v>44835</v>
      </c>
      <c r="D101" s="79">
        <v>44834</v>
      </c>
      <c r="E101" s="5">
        <v>51000</v>
      </c>
      <c r="F101" s="2" t="s">
        <v>0</v>
      </c>
      <c r="G101" s="2"/>
      <c r="H101" s="2"/>
      <c r="I101" s="2" t="s">
        <v>99</v>
      </c>
      <c r="J101" s="13">
        <f t="shared" si="7"/>
        <v>-51000</v>
      </c>
    </row>
    <row r="102" spans="2:10" x14ac:dyDescent="0.2">
      <c r="B102" s="22">
        <v>101470</v>
      </c>
      <c r="C102" s="2"/>
      <c r="D102" s="79"/>
      <c r="E102" s="5">
        <v>0</v>
      </c>
      <c r="F102" s="2" t="s">
        <v>49</v>
      </c>
      <c r="G102" s="2"/>
      <c r="H102" s="2"/>
      <c r="I102" s="2" t="s">
        <v>99</v>
      </c>
      <c r="J102" s="13">
        <f t="shared" si="7"/>
        <v>-51000</v>
      </c>
    </row>
    <row r="103" spans="2:10" x14ac:dyDescent="0.2">
      <c r="B103" s="22">
        <v>101480</v>
      </c>
      <c r="C103" s="2"/>
      <c r="D103" s="79"/>
      <c r="E103" s="5">
        <v>0</v>
      </c>
      <c r="F103" s="2" t="s">
        <v>2</v>
      </c>
      <c r="G103" s="2"/>
      <c r="H103" s="2"/>
      <c r="I103" s="2" t="s">
        <v>99</v>
      </c>
      <c r="J103" s="13">
        <f t="shared" si="7"/>
        <v>-51000</v>
      </c>
    </row>
    <row r="104" spans="2:10" x14ac:dyDescent="0.2">
      <c r="B104" s="22">
        <v>101490</v>
      </c>
      <c r="C104" s="9">
        <f>Table149[[#This Row],[Tarih]]+1</f>
        <v>44866</v>
      </c>
      <c r="D104" s="79">
        <v>44865</v>
      </c>
      <c r="E104" s="5">
        <v>51000</v>
      </c>
      <c r="F104" s="2" t="s">
        <v>0</v>
      </c>
      <c r="G104" s="2"/>
      <c r="H104" s="2"/>
      <c r="I104" s="2" t="s">
        <v>99</v>
      </c>
      <c r="J104" s="13">
        <f t="shared" si="7"/>
        <v>0</v>
      </c>
    </row>
    <row r="105" spans="2:10" x14ac:dyDescent="0.2">
      <c r="B105" s="22">
        <v>101500</v>
      </c>
      <c r="C105" s="2"/>
      <c r="D105" s="79"/>
      <c r="E105" s="5">
        <v>0</v>
      </c>
      <c r="F105" s="2" t="s">
        <v>49</v>
      </c>
      <c r="G105" s="2"/>
      <c r="H105" s="2"/>
      <c r="I105" s="2" t="s">
        <v>99</v>
      </c>
      <c r="J105" s="13">
        <f t="shared" si="7"/>
        <v>0</v>
      </c>
    </row>
    <row r="106" spans="2:10" x14ac:dyDescent="0.2">
      <c r="B106" s="22">
        <v>101510</v>
      </c>
      <c r="C106" s="2"/>
      <c r="D106" s="79"/>
      <c r="E106" s="5">
        <v>0</v>
      </c>
      <c r="F106" s="2" t="s">
        <v>2</v>
      </c>
      <c r="G106" s="2"/>
      <c r="H106" s="2"/>
      <c r="I106" s="2" t="s">
        <v>99</v>
      </c>
      <c r="J106" s="13">
        <f t="shared" si="7"/>
        <v>0</v>
      </c>
    </row>
    <row r="107" spans="2:10" x14ac:dyDescent="0.2">
      <c r="B107" s="22">
        <v>101520</v>
      </c>
      <c r="C107" s="9">
        <f>Table149[[#This Row],[Tarih]]+1</f>
        <v>44896</v>
      </c>
      <c r="D107" s="79">
        <v>44895</v>
      </c>
      <c r="E107" s="5">
        <v>51000</v>
      </c>
      <c r="F107" s="2" t="s">
        <v>0</v>
      </c>
      <c r="G107" s="2"/>
      <c r="H107" s="2"/>
      <c r="I107" s="2" t="s">
        <v>99</v>
      </c>
      <c r="J107" s="13">
        <f t="shared" si="7"/>
        <v>51000</v>
      </c>
    </row>
    <row r="108" spans="2:10" x14ac:dyDescent="0.2">
      <c r="B108" s="22">
        <v>101530</v>
      </c>
      <c r="C108" s="2"/>
      <c r="D108" s="79">
        <v>44895</v>
      </c>
      <c r="E108" s="5">
        <f>-(7875+14625)</f>
        <v>-22500</v>
      </c>
      <c r="F108" s="2" t="s">
        <v>108</v>
      </c>
      <c r="G108" s="2" t="s">
        <v>107</v>
      </c>
      <c r="H108" s="2"/>
      <c r="I108" s="2" t="s">
        <v>99</v>
      </c>
      <c r="J108" s="13">
        <f t="shared" si="7"/>
        <v>28500</v>
      </c>
    </row>
    <row r="109" spans="2:10" x14ac:dyDescent="0.2">
      <c r="B109" s="22">
        <v>101540</v>
      </c>
      <c r="C109" s="2"/>
      <c r="D109" s="79">
        <v>44895</v>
      </c>
      <c r="E109" s="5">
        <v>-28500</v>
      </c>
      <c r="F109" s="2" t="s">
        <v>109</v>
      </c>
      <c r="G109" s="2"/>
      <c r="H109" s="2"/>
      <c r="I109" s="2" t="s">
        <v>99</v>
      </c>
      <c r="J109" s="13">
        <f t="shared" si="7"/>
        <v>0</v>
      </c>
    </row>
    <row r="110" spans="2:10" x14ac:dyDescent="0.2">
      <c r="B110" s="22">
        <v>101550</v>
      </c>
      <c r="C110" s="9">
        <f>Table149[[#This Row],[Tarih]]+1</f>
        <v>44927</v>
      </c>
      <c r="D110" s="79">
        <v>44926</v>
      </c>
      <c r="E110" s="5">
        <v>51000</v>
      </c>
      <c r="F110" s="2" t="s">
        <v>0</v>
      </c>
      <c r="G110" s="2"/>
      <c r="H110" s="2"/>
      <c r="I110" s="2" t="s">
        <v>99</v>
      </c>
      <c r="J110" s="13">
        <f t="shared" ref="J110:J137" si="8">E110+J109</f>
        <v>51000</v>
      </c>
    </row>
    <row r="111" spans="2:10" x14ac:dyDescent="0.2">
      <c r="B111" s="22">
        <v>101560</v>
      </c>
      <c r="C111" s="2"/>
      <c r="D111" s="79">
        <v>44922</v>
      </c>
      <c r="E111" s="5">
        <v>-28500</v>
      </c>
      <c r="F111" s="2" t="s">
        <v>109</v>
      </c>
      <c r="G111" s="2"/>
      <c r="H111" s="2"/>
      <c r="I111" s="2" t="s">
        <v>99</v>
      </c>
      <c r="J111" s="13">
        <f t="shared" si="8"/>
        <v>22500</v>
      </c>
    </row>
    <row r="112" spans="2:10" x14ac:dyDescent="0.2">
      <c r="B112" s="22">
        <v>101570</v>
      </c>
      <c r="C112" s="2"/>
      <c r="D112" s="79">
        <v>44922</v>
      </c>
      <c r="E112" s="5">
        <f>-(7875+14625)</f>
        <v>-22500</v>
      </c>
      <c r="F112" s="2" t="s">
        <v>108</v>
      </c>
      <c r="G112" s="2" t="s">
        <v>107</v>
      </c>
      <c r="H112" s="2"/>
      <c r="I112" s="2" t="s">
        <v>99</v>
      </c>
      <c r="J112" s="13">
        <f t="shared" si="8"/>
        <v>0</v>
      </c>
    </row>
    <row r="113" spans="2:10" x14ac:dyDescent="0.2">
      <c r="B113" s="22">
        <v>101580</v>
      </c>
      <c r="C113" s="9">
        <f>Table149[[#This Row],[Tarih]]+1</f>
        <v>44958</v>
      </c>
      <c r="D113" s="79">
        <v>44957</v>
      </c>
      <c r="E113" s="5">
        <v>51000</v>
      </c>
      <c r="F113" s="2" t="s">
        <v>0</v>
      </c>
      <c r="G113" s="2"/>
      <c r="H113" s="2"/>
      <c r="I113" s="2" t="s">
        <v>99</v>
      </c>
      <c r="J113" s="13">
        <f t="shared" si="8"/>
        <v>51000</v>
      </c>
    </row>
    <row r="114" spans="2:10" x14ac:dyDescent="0.2">
      <c r="B114" s="22">
        <v>101590</v>
      </c>
      <c r="C114" s="2"/>
      <c r="D114" s="79">
        <v>44958</v>
      </c>
      <c r="E114" s="5">
        <f>-(7875+14625)</f>
        <v>-22500</v>
      </c>
      <c r="F114" s="2" t="s">
        <v>108</v>
      </c>
      <c r="G114" s="2" t="s">
        <v>107</v>
      </c>
      <c r="H114" s="2"/>
      <c r="I114" s="2" t="s">
        <v>99</v>
      </c>
      <c r="J114" s="13">
        <f t="shared" ref="J114" si="9">E114+J113</f>
        <v>28500</v>
      </c>
    </row>
    <row r="115" spans="2:10" x14ac:dyDescent="0.2">
      <c r="B115" s="22">
        <v>101600</v>
      </c>
      <c r="C115" s="2"/>
      <c r="D115" s="79">
        <v>44958</v>
      </c>
      <c r="E115" s="5">
        <v>-28500</v>
      </c>
      <c r="F115" s="2" t="s">
        <v>109</v>
      </c>
      <c r="G115" s="2"/>
      <c r="H115" s="2"/>
      <c r="I115" s="2" t="s">
        <v>99</v>
      </c>
      <c r="J115" s="13">
        <f t="shared" ref="J115" si="10">E115+J114</f>
        <v>0</v>
      </c>
    </row>
    <row r="116" spans="2:10" x14ac:dyDescent="0.2">
      <c r="B116" s="22">
        <v>101610</v>
      </c>
      <c r="C116" s="9">
        <f>Table149[[#This Row],[Tarih]]+1</f>
        <v>44986</v>
      </c>
      <c r="D116" s="79">
        <v>44985</v>
      </c>
      <c r="E116" s="5">
        <v>51000</v>
      </c>
      <c r="F116" s="2" t="s">
        <v>0</v>
      </c>
      <c r="G116" s="2"/>
      <c r="H116" s="2"/>
      <c r="I116" s="2" t="s">
        <v>99</v>
      </c>
      <c r="J116" s="13">
        <f t="shared" si="8"/>
        <v>51000</v>
      </c>
    </row>
    <row r="117" spans="2:10" x14ac:dyDescent="0.2">
      <c r="B117" s="22">
        <v>101620</v>
      </c>
      <c r="C117" s="2"/>
      <c r="D117" s="79">
        <v>44986</v>
      </c>
      <c r="E117" s="5">
        <f>-(7875+14625)</f>
        <v>-22500</v>
      </c>
      <c r="F117" s="2" t="s">
        <v>108</v>
      </c>
      <c r="G117" s="2" t="s">
        <v>107</v>
      </c>
      <c r="H117" s="2"/>
      <c r="I117" s="2" t="s">
        <v>99</v>
      </c>
      <c r="J117" s="13">
        <f t="shared" si="8"/>
        <v>28500</v>
      </c>
    </row>
    <row r="118" spans="2:10" x14ac:dyDescent="0.2">
      <c r="B118" s="22">
        <v>101630</v>
      </c>
      <c r="C118" s="2"/>
      <c r="D118" s="79">
        <v>44986</v>
      </c>
      <c r="E118" s="5">
        <v>-28500</v>
      </c>
      <c r="F118" s="2" t="s">
        <v>109</v>
      </c>
      <c r="G118" s="2"/>
      <c r="H118" s="2"/>
      <c r="I118" s="2" t="s">
        <v>99</v>
      </c>
      <c r="J118" s="13">
        <f t="shared" si="8"/>
        <v>0</v>
      </c>
    </row>
    <row r="119" spans="2:10" x14ac:dyDescent="0.2">
      <c r="B119" s="22">
        <v>101640</v>
      </c>
      <c r="C119" s="9">
        <f>Table149[[#This Row],[Tarih]]+1</f>
        <v>45017</v>
      </c>
      <c r="D119" s="79">
        <v>45016</v>
      </c>
      <c r="E119" s="5">
        <v>51000</v>
      </c>
      <c r="F119" s="2" t="s">
        <v>0</v>
      </c>
      <c r="G119" s="2"/>
      <c r="H119" s="2"/>
      <c r="I119" s="2" t="s">
        <v>99</v>
      </c>
      <c r="J119" s="13">
        <f t="shared" si="8"/>
        <v>51000</v>
      </c>
    </row>
    <row r="120" spans="2:10" x14ac:dyDescent="0.2">
      <c r="B120" s="22">
        <v>101650</v>
      </c>
      <c r="C120" s="2"/>
      <c r="D120" s="79">
        <v>45019</v>
      </c>
      <c r="E120" s="5">
        <f>-(7875+14625)</f>
        <v>-22500</v>
      </c>
      <c r="F120" s="2" t="s">
        <v>108</v>
      </c>
      <c r="G120" s="2" t="s">
        <v>107</v>
      </c>
      <c r="H120" s="2"/>
      <c r="I120" s="2" t="s">
        <v>99</v>
      </c>
      <c r="J120" s="13">
        <f t="shared" ref="J120:J121" si="11">E120+J119</f>
        <v>28500</v>
      </c>
    </row>
    <row r="121" spans="2:10" x14ac:dyDescent="0.2">
      <c r="B121" s="22">
        <v>101660</v>
      </c>
      <c r="C121" s="2"/>
      <c r="D121" s="79">
        <v>45019</v>
      </c>
      <c r="E121" s="5">
        <v>-28500</v>
      </c>
      <c r="F121" s="2" t="s">
        <v>109</v>
      </c>
      <c r="G121" s="2"/>
      <c r="H121" s="2"/>
      <c r="I121" s="2" t="s">
        <v>99</v>
      </c>
      <c r="J121" s="13">
        <f t="shared" si="11"/>
        <v>0</v>
      </c>
    </row>
    <row r="122" spans="2:10" x14ac:dyDescent="0.2">
      <c r="B122" s="22">
        <v>101670</v>
      </c>
      <c r="C122" s="9">
        <f>Table149[[#This Row],[Tarih]]+1</f>
        <v>45047</v>
      </c>
      <c r="D122" s="79">
        <v>45046</v>
      </c>
      <c r="E122" s="5">
        <v>51000</v>
      </c>
      <c r="F122" s="2" t="s">
        <v>0</v>
      </c>
      <c r="G122" s="2"/>
      <c r="H122" s="2"/>
      <c r="I122" s="2" t="s">
        <v>99</v>
      </c>
      <c r="J122" s="13">
        <f t="shared" si="8"/>
        <v>51000</v>
      </c>
    </row>
    <row r="123" spans="2:10" x14ac:dyDescent="0.2">
      <c r="B123" s="22">
        <v>101680</v>
      </c>
      <c r="C123" s="2"/>
      <c r="D123" s="79">
        <v>45048</v>
      </c>
      <c r="E123" s="5">
        <f>-(7875+14625)</f>
        <v>-22500</v>
      </c>
      <c r="F123" s="2" t="s">
        <v>108</v>
      </c>
      <c r="G123" s="2" t="s">
        <v>107</v>
      </c>
      <c r="H123" s="2"/>
      <c r="I123" s="2" t="s">
        <v>99</v>
      </c>
      <c r="J123" s="13">
        <f t="shared" si="8"/>
        <v>28500</v>
      </c>
    </row>
    <row r="124" spans="2:10" x14ac:dyDescent="0.2">
      <c r="B124" s="22">
        <v>101690</v>
      </c>
      <c r="C124" s="2"/>
      <c r="D124" s="79">
        <v>45047</v>
      </c>
      <c r="E124" s="5">
        <v>-28500</v>
      </c>
      <c r="F124" s="2" t="s">
        <v>109</v>
      </c>
      <c r="G124" s="2"/>
      <c r="H124" s="2"/>
      <c r="I124" s="2" t="s">
        <v>99</v>
      </c>
      <c r="J124" s="13">
        <f t="shared" si="8"/>
        <v>0</v>
      </c>
    </row>
    <row r="125" spans="2:10" x14ac:dyDescent="0.2">
      <c r="B125" s="22">
        <v>101700</v>
      </c>
      <c r="C125" s="9">
        <f>Table149[[#This Row],[Tarih]]+1</f>
        <v>45078</v>
      </c>
      <c r="D125" s="79">
        <v>45077</v>
      </c>
      <c r="E125" s="5">
        <v>51000</v>
      </c>
      <c r="F125" s="2" t="s">
        <v>0</v>
      </c>
      <c r="G125" s="2"/>
      <c r="H125" s="2"/>
      <c r="I125" s="2" t="s">
        <v>99</v>
      </c>
      <c r="J125" s="13">
        <f t="shared" si="8"/>
        <v>51000</v>
      </c>
    </row>
    <row r="126" spans="2:10" x14ac:dyDescent="0.2">
      <c r="B126" s="22">
        <v>101710</v>
      </c>
      <c r="C126" s="2"/>
      <c r="D126" s="79">
        <v>45079</v>
      </c>
      <c r="E126" s="5">
        <f>-(7875+14625)</f>
        <v>-22500</v>
      </c>
      <c r="F126" s="2" t="s">
        <v>108</v>
      </c>
      <c r="G126" s="2" t="s">
        <v>107</v>
      </c>
      <c r="H126" s="2"/>
      <c r="I126" s="2" t="s">
        <v>99</v>
      </c>
      <c r="J126" s="13">
        <f t="shared" ref="J126:J127" si="12">E126+J125</f>
        <v>28500</v>
      </c>
    </row>
    <row r="127" spans="2:10" x14ac:dyDescent="0.2">
      <c r="B127" s="22">
        <v>101720</v>
      </c>
      <c r="C127" s="2"/>
      <c r="D127" s="79">
        <v>45079</v>
      </c>
      <c r="E127" s="5">
        <v>-28500</v>
      </c>
      <c r="F127" s="2" t="s">
        <v>109</v>
      </c>
      <c r="G127" s="2"/>
      <c r="H127" s="2"/>
      <c r="I127" s="2" t="s">
        <v>99</v>
      </c>
      <c r="J127" s="13">
        <f t="shared" si="12"/>
        <v>0</v>
      </c>
    </row>
    <row r="128" spans="2:10" x14ac:dyDescent="0.2">
      <c r="B128" s="22">
        <v>101730</v>
      </c>
      <c r="C128" s="9">
        <f>Table149[[#This Row],[Tarih]]+1</f>
        <v>45108</v>
      </c>
      <c r="D128" s="79">
        <v>45107</v>
      </c>
      <c r="E128" s="5">
        <v>51000</v>
      </c>
      <c r="F128" s="2" t="s">
        <v>0</v>
      </c>
      <c r="G128" s="2"/>
      <c r="H128" s="2"/>
      <c r="I128" s="2" t="s">
        <v>99</v>
      </c>
      <c r="J128" s="13">
        <f t="shared" si="8"/>
        <v>51000</v>
      </c>
    </row>
    <row r="129" spans="2:26" x14ac:dyDescent="0.2">
      <c r="B129" s="22">
        <v>101740</v>
      </c>
      <c r="C129" s="2"/>
      <c r="D129" s="79">
        <v>45110</v>
      </c>
      <c r="E129" s="5">
        <f>-(7875+14625)</f>
        <v>-22500</v>
      </c>
      <c r="F129" s="2" t="s">
        <v>108</v>
      </c>
      <c r="G129" s="2" t="s">
        <v>107</v>
      </c>
      <c r="H129" s="2"/>
      <c r="I129" s="2" t="s">
        <v>99</v>
      </c>
      <c r="J129" s="13">
        <f t="shared" si="8"/>
        <v>28500</v>
      </c>
    </row>
    <row r="130" spans="2:26" x14ac:dyDescent="0.2">
      <c r="B130" s="22">
        <v>101750</v>
      </c>
      <c r="C130" s="2"/>
      <c r="D130" s="79">
        <v>45111</v>
      </c>
      <c r="E130" s="5">
        <v>-28500</v>
      </c>
      <c r="F130" s="2" t="s">
        <v>109</v>
      </c>
      <c r="G130" s="2"/>
      <c r="H130" s="2"/>
      <c r="I130" s="2" t="s">
        <v>99</v>
      </c>
      <c r="J130" s="13">
        <f t="shared" si="8"/>
        <v>0</v>
      </c>
    </row>
    <row r="131" spans="2:26" x14ac:dyDescent="0.2">
      <c r="B131" s="22">
        <v>101760</v>
      </c>
      <c r="C131" s="9">
        <f>Table149[[#This Row],[Tarih]]+1</f>
        <v>45139</v>
      </c>
      <c r="D131" s="79">
        <v>45138</v>
      </c>
      <c r="E131" s="5">
        <v>51000</v>
      </c>
      <c r="F131" s="2" t="s">
        <v>0</v>
      </c>
      <c r="G131" s="2"/>
      <c r="H131" s="2"/>
      <c r="I131" s="2" t="s">
        <v>99</v>
      </c>
      <c r="J131" s="13">
        <f t="shared" si="8"/>
        <v>51000</v>
      </c>
    </row>
    <row r="132" spans="2:26" x14ac:dyDescent="0.2">
      <c r="B132" s="22">
        <v>101770</v>
      </c>
      <c r="C132" s="2"/>
      <c r="D132" s="79">
        <v>45139</v>
      </c>
      <c r="E132" s="5">
        <f>-(7875+14625)</f>
        <v>-22500</v>
      </c>
      <c r="F132" s="2" t="s">
        <v>108</v>
      </c>
      <c r="G132" s="2" t="s">
        <v>107</v>
      </c>
      <c r="H132" s="2"/>
      <c r="I132" s="2" t="s">
        <v>99</v>
      </c>
      <c r="J132" s="13">
        <f t="shared" ref="J132:J133" si="13">E132+J131</f>
        <v>28500</v>
      </c>
      <c r="P132" t="s">
        <v>198</v>
      </c>
    </row>
    <row r="133" spans="2:26" ht="17" x14ac:dyDescent="0.2">
      <c r="B133" s="22">
        <v>101780</v>
      </c>
      <c r="C133" s="2"/>
      <c r="D133" s="79">
        <v>45139</v>
      </c>
      <c r="E133" s="5">
        <v>-28500</v>
      </c>
      <c r="F133" s="2" t="s">
        <v>109</v>
      </c>
      <c r="G133" s="2"/>
      <c r="H133" s="2"/>
      <c r="I133" s="2" t="s">
        <v>99</v>
      </c>
      <c r="J133" s="13">
        <f t="shared" si="13"/>
        <v>0</v>
      </c>
      <c r="M133" t="s">
        <v>90</v>
      </c>
      <c r="N133" t="s">
        <v>89</v>
      </c>
      <c r="P133" t="s">
        <v>90</v>
      </c>
      <c r="Q133" t="s">
        <v>89</v>
      </c>
      <c r="T133" s="152" t="s">
        <v>136</v>
      </c>
      <c r="U133" s="151"/>
      <c r="V133" s="172" t="s">
        <v>170</v>
      </c>
      <c r="W133" s="170" t="s">
        <v>171</v>
      </c>
      <c r="X133" s="170" t="s">
        <v>177</v>
      </c>
      <c r="Y133" s="152" t="s">
        <v>9</v>
      </c>
    </row>
    <row r="134" spans="2:26" x14ac:dyDescent="0.2">
      <c r="B134" s="22">
        <v>101790</v>
      </c>
      <c r="C134" s="9">
        <f>Table149[[#This Row],[Tarih]]+1</f>
        <v>45170</v>
      </c>
      <c r="D134" s="79">
        <v>45169</v>
      </c>
      <c r="E134" s="5">
        <v>51000</v>
      </c>
      <c r="F134" s="2" t="s">
        <v>0</v>
      </c>
      <c r="G134" s="2"/>
      <c r="H134" s="2"/>
      <c r="I134" s="2" t="s">
        <v>99</v>
      </c>
      <c r="J134" s="13">
        <f t="shared" si="8"/>
        <v>51000</v>
      </c>
      <c r="K134">
        <v>5</v>
      </c>
      <c r="L134" t="s">
        <v>168</v>
      </c>
      <c r="M134">
        <v>9850</v>
      </c>
      <c r="N134">
        <f>O134-M134</f>
        <v>15150</v>
      </c>
      <c r="O134">
        <v>25000</v>
      </c>
      <c r="P134">
        <f>O134*0.35</f>
        <v>8750</v>
      </c>
      <c r="Q134">
        <f>O134*0.65</f>
        <v>16250</v>
      </c>
      <c r="T134" s="152" t="s">
        <v>6</v>
      </c>
      <c r="U134" s="152" t="s">
        <v>7</v>
      </c>
      <c r="V134" s="171">
        <v>16250</v>
      </c>
      <c r="W134" s="171">
        <v>8750</v>
      </c>
      <c r="X134" s="171">
        <f>V134+W134</f>
        <v>25000</v>
      </c>
      <c r="Y134" s="151"/>
    </row>
    <row r="135" spans="2:26" x14ac:dyDescent="0.2">
      <c r="B135" s="22">
        <v>101800</v>
      </c>
      <c r="C135" s="2"/>
      <c r="D135" s="79">
        <v>45170</v>
      </c>
      <c r="E135" s="5">
        <f>-(7875+14625)</f>
        <v>-22500</v>
      </c>
      <c r="F135" s="2" t="s">
        <v>108</v>
      </c>
      <c r="G135" s="2" t="s">
        <v>107</v>
      </c>
      <c r="H135" s="2"/>
      <c r="I135" s="2" t="s">
        <v>99</v>
      </c>
      <c r="J135" s="13">
        <f t="shared" si="8"/>
        <v>28500</v>
      </c>
      <c r="K135">
        <v>4</v>
      </c>
      <c r="L135" t="s">
        <v>167</v>
      </c>
      <c r="M135">
        <v>8750</v>
      </c>
      <c r="N135">
        <f>O135-M135</f>
        <v>16250</v>
      </c>
      <c r="O135">
        <v>25000</v>
      </c>
      <c r="P135">
        <f t="shared" ref="P135:P138" si="14">O135*0.35</f>
        <v>8750</v>
      </c>
      <c r="Q135">
        <f t="shared" ref="Q135:Q138" si="15">O135*0.65</f>
        <v>16250</v>
      </c>
      <c r="T135" s="151">
        <v>1</v>
      </c>
      <c r="U135" s="153">
        <v>45216</v>
      </c>
      <c r="V135" s="154">
        <v>15150</v>
      </c>
      <c r="W135" s="154">
        <v>9850</v>
      </c>
      <c r="X135" s="154">
        <f>V135+W135</f>
        <v>25000</v>
      </c>
      <c r="Y135" s="173" t="s">
        <v>172</v>
      </c>
      <c r="Z135" s="167"/>
    </row>
    <row r="136" spans="2:26" ht="17" thickBot="1" x14ac:dyDescent="0.25">
      <c r="B136" s="106">
        <v>101810</v>
      </c>
      <c r="C136" s="104"/>
      <c r="D136" s="107">
        <v>45170</v>
      </c>
      <c r="E136" s="103">
        <v>-28500</v>
      </c>
      <c r="F136" s="104" t="s">
        <v>109</v>
      </c>
      <c r="G136" s="104"/>
      <c r="H136" s="104"/>
      <c r="I136" s="104" t="s">
        <v>99</v>
      </c>
      <c r="J136" s="105">
        <f t="shared" si="8"/>
        <v>0</v>
      </c>
      <c r="K136">
        <v>3</v>
      </c>
      <c r="L136" t="s">
        <v>165</v>
      </c>
      <c r="M136">
        <v>7650</v>
      </c>
      <c r="N136">
        <f>O136-M136</f>
        <v>17350</v>
      </c>
      <c r="O136">
        <v>25000</v>
      </c>
      <c r="P136">
        <f t="shared" si="14"/>
        <v>8750</v>
      </c>
      <c r="Q136">
        <f t="shared" si="15"/>
        <v>16250</v>
      </c>
      <c r="T136" s="151">
        <v>2</v>
      </c>
      <c r="U136" s="155">
        <v>45233</v>
      </c>
      <c r="V136" s="156">
        <v>16250</v>
      </c>
      <c r="W136" s="156">
        <v>8750</v>
      </c>
      <c r="X136" s="156">
        <f>V136+W136</f>
        <v>25000</v>
      </c>
      <c r="Y136" s="174" t="s">
        <v>178</v>
      </c>
      <c r="Z136" s="167"/>
    </row>
    <row r="137" spans="2:26" ht="17" thickTop="1" x14ac:dyDescent="0.2">
      <c r="B137" s="22">
        <v>101850</v>
      </c>
      <c r="C137" s="9">
        <f>Table149[[#This Row],[Tarih]]+1</f>
        <v>45200</v>
      </c>
      <c r="D137" s="79">
        <v>45199</v>
      </c>
      <c r="E137" s="128">
        <v>3100</v>
      </c>
      <c r="F137" s="2" t="s">
        <v>0</v>
      </c>
      <c r="G137" s="2"/>
      <c r="H137" s="2"/>
      <c r="I137" s="2" t="s">
        <v>99</v>
      </c>
      <c r="J137" s="121">
        <f t="shared" si="8"/>
        <v>3100</v>
      </c>
      <c r="K137">
        <v>2</v>
      </c>
      <c r="L137" t="s">
        <v>166</v>
      </c>
      <c r="M137">
        <v>7650</v>
      </c>
      <c r="N137">
        <f>O137-M137</f>
        <v>17350</v>
      </c>
      <c r="O137">
        <v>25000</v>
      </c>
      <c r="P137">
        <f t="shared" si="14"/>
        <v>8750</v>
      </c>
      <c r="Q137">
        <f t="shared" si="15"/>
        <v>16250</v>
      </c>
      <c r="T137" s="151">
        <v>3</v>
      </c>
      <c r="U137" s="153">
        <v>45265</v>
      </c>
      <c r="V137" s="154">
        <v>17350</v>
      </c>
      <c r="W137" s="154">
        <v>7650</v>
      </c>
      <c r="X137" s="154">
        <f>V137+W137</f>
        <v>25000</v>
      </c>
      <c r="Y137" s="173" t="s">
        <v>173</v>
      </c>
      <c r="Z137" s="167"/>
    </row>
    <row r="138" spans="2:26" x14ac:dyDescent="0.2">
      <c r="B138" s="22">
        <v>101860</v>
      </c>
      <c r="C138" s="9"/>
      <c r="D138" s="79">
        <v>45216</v>
      </c>
      <c r="E138" s="5">
        <v>-892.86</v>
      </c>
      <c r="F138" s="2" t="s">
        <v>108</v>
      </c>
      <c r="G138" s="2" t="s">
        <v>193</v>
      </c>
      <c r="H138" s="2"/>
      <c r="I138" s="2" t="s">
        <v>99</v>
      </c>
      <c r="J138" s="121">
        <f>E138+J137</f>
        <v>2207.14</v>
      </c>
      <c r="K138">
        <v>1</v>
      </c>
      <c r="L138" t="s">
        <v>197</v>
      </c>
      <c r="M138">
        <v>9850</v>
      </c>
      <c r="N138">
        <f>O138-M138</f>
        <v>15150</v>
      </c>
      <c r="O138">
        <v>25000</v>
      </c>
      <c r="P138">
        <f t="shared" si="14"/>
        <v>8750</v>
      </c>
      <c r="Q138">
        <f t="shared" si="15"/>
        <v>16250</v>
      </c>
      <c r="T138" s="151">
        <v>4</v>
      </c>
      <c r="U138" s="153">
        <v>45296</v>
      </c>
      <c r="V138" s="154">
        <v>17350</v>
      </c>
      <c r="W138" s="154">
        <v>7650</v>
      </c>
      <c r="X138" s="154">
        <f>V138+W138</f>
        <v>25000</v>
      </c>
      <c r="Y138" s="173" t="s">
        <v>173</v>
      </c>
      <c r="Z138" s="167"/>
    </row>
    <row r="139" spans="2:26" x14ac:dyDescent="0.2">
      <c r="B139" s="187">
        <v>101870</v>
      </c>
      <c r="C139" s="188"/>
      <c r="D139" s="189">
        <v>45223</v>
      </c>
      <c r="E139" s="190">
        <v>-2207.14</v>
      </c>
      <c r="F139" s="191" t="s">
        <v>3</v>
      </c>
      <c r="G139" s="191" t="s">
        <v>147</v>
      </c>
      <c r="H139" s="191"/>
      <c r="I139" s="191" t="s">
        <v>99</v>
      </c>
      <c r="J139" s="190">
        <f t="shared" ref="J139:J202" si="16">E139+J138</f>
        <v>0</v>
      </c>
      <c r="M139" s="1">
        <f>SUM(M134:M138)</f>
        <v>43750</v>
      </c>
      <c r="N139" s="1">
        <f>SUM(N134:N138)</f>
        <v>81250</v>
      </c>
      <c r="P139" s="1">
        <f>SUM(P134:P138)</f>
        <v>43750</v>
      </c>
      <c r="Q139" s="1">
        <f>SUM(Q134:Q138)</f>
        <v>81250</v>
      </c>
      <c r="T139" s="589" t="s">
        <v>174</v>
      </c>
      <c r="U139" s="589"/>
      <c r="V139" s="589"/>
      <c r="W139" s="589"/>
      <c r="X139" s="589"/>
      <c r="Y139" s="589"/>
      <c r="Z139" s="167"/>
    </row>
    <row r="140" spans="2:26" x14ac:dyDescent="0.2">
      <c r="B140" s="22">
        <v>101880</v>
      </c>
      <c r="C140" s="9">
        <f>Table149[[#This Row],[Tarih]]+1</f>
        <v>45231</v>
      </c>
      <c r="D140" s="79">
        <v>45230</v>
      </c>
      <c r="E140" s="128">
        <v>3100</v>
      </c>
      <c r="F140" s="2" t="s">
        <v>0</v>
      </c>
      <c r="G140" s="2"/>
      <c r="H140" s="2"/>
      <c r="I140" s="2" t="s">
        <v>99</v>
      </c>
      <c r="J140" s="121">
        <f t="shared" si="16"/>
        <v>3100</v>
      </c>
      <c r="T140" s="151">
        <v>5</v>
      </c>
      <c r="U140" s="168">
        <v>45327</v>
      </c>
      <c r="V140" s="169">
        <v>15150</v>
      </c>
      <c r="W140" s="169">
        <v>9850</v>
      </c>
      <c r="X140" s="169">
        <f>V140+W140</f>
        <v>25000</v>
      </c>
      <c r="Y140" s="152" t="s">
        <v>175</v>
      </c>
    </row>
    <row r="141" spans="2:26" x14ac:dyDescent="0.2">
      <c r="B141" s="22">
        <v>101890</v>
      </c>
      <c r="C141" s="9"/>
      <c r="D141" s="79">
        <v>45233</v>
      </c>
      <c r="E141" s="5">
        <v>-881.21</v>
      </c>
      <c r="F141" s="2" t="s">
        <v>108</v>
      </c>
      <c r="G141" s="2" t="s">
        <v>194</v>
      </c>
      <c r="H141" s="2"/>
      <c r="I141" s="2" t="s">
        <v>99</v>
      </c>
      <c r="J141" s="121">
        <f t="shared" si="16"/>
        <v>2218.79</v>
      </c>
      <c r="T141" s="151">
        <v>6</v>
      </c>
      <c r="U141" s="168">
        <v>45356</v>
      </c>
      <c r="V141" s="169">
        <v>16250</v>
      </c>
      <c r="W141" s="169">
        <v>8750</v>
      </c>
      <c r="X141" s="169">
        <f t="shared" ref="X141:X147" si="17">V141+W141</f>
        <v>25000</v>
      </c>
      <c r="Y141" s="151" t="s">
        <v>176</v>
      </c>
    </row>
    <row r="142" spans="2:26" x14ac:dyDescent="0.2">
      <c r="B142" s="187">
        <v>101900</v>
      </c>
      <c r="C142" s="188"/>
      <c r="D142" s="189">
        <v>45233</v>
      </c>
      <c r="E142" s="190">
        <f>-2218.79</f>
        <v>-2218.79</v>
      </c>
      <c r="F142" s="191" t="s">
        <v>3</v>
      </c>
      <c r="G142" s="191" t="s">
        <v>146</v>
      </c>
      <c r="H142" s="191"/>
      <c r="I142" s="191" t="s">
        <v>99</v>
      </c>
      <c r="J142" s="190">
        <f t="shared" si="16"/>
        <v>0</v>
      </c>
      <c r="T142" s="151">
        <v>7</v>
      </c>
      <c r="U142" s="168">
        <v>45387</v>
      </c>
      <c r="V142" s="169">
        <v>16250</v>
      </c>
      <c r="W142" s="169">
        <v>8750</v>
      </c>
      <c r="X142" s="169">
        <f t="shared" si="17"/>
        <v>25000</v>
      </c>
      <c r="Y142" s="151" t="s">
        <v>176</v>
      </c>
    </row>
    <row r="143" spans="2:26" x14ac:dyDescent="0.2">
      <c r="B143" s="22">
        <v>101910</v>
      </c>
      <c r="C143" s="9">
        <f>Table149[[#This Row],[Tarih]]+1</f>
        <v>45261</v>
      </c>
      <c r="D143" s="79">
        <v>45260</v>
      </c>
      <c r="E143" s="128">
        <v>3100</v>
      </c>
      <c r="F143" s="2" t="s">
        <v>0</v>
      </c>
      <c r="G143" s="2"/>
      <c r="H143" s="2"/>
      <c r="I143" s="2" t="s">
        <v>99</v>
      </c>
      <c r="J143" s="121">
        <f t="shared" si="16"/>
        <v>3100</v>
      </c>
      <c r="T143" s="151">
        <v>8</v>
      </c>
      <c r="U143" s="168">
        <v>45417</v>
      </c>
      <c r="V143" s="169">
        <v>16250</v>
      </c>
      <c r="W143" s="169">
        <v>8750</v>
      </c>
      <c r="X143" s="169">
        <f t="shared" si="17"/>
        <v>25000</v>
      </c>
      <c r="Y143" s="151" t="s">
        <v>176</v>
      </c>
    </row>
    <row r="144" spans="2:26" x14ac:dyDescent="0.2">
      <c r="B144" s="22">
        <v>101920</v>
      </c>
      <c r="C144" s="9"/>
      <c r="D144" s="79">
        <v>45265</v>
      </c>
      <c r="E144" s="128">
        <v>-864.16</v>
      </c>
      <c r="F144" s="2" t="s">
        <v>108</v>
      </c>
      <c r="G144" s="2" t="s">
        <v>195</v>
      </c>
      <c r="H144" s="2"/>
      <c r="I144" s="2" t="s">
        <v>99</v>
      </c>
      <c r="J144" s="121">
        <f t="shared" ref="J144:J145" si="18">E144+J143</f>
        <v>2235.84</v>
      </c>
      <c r="T144" s="151">
        <v>9</v>
      </c>
      <c r="U144" s="168">
        <v>45448</v>
      </c>
      <c r="V144" s="169">
        <v>16250</v>
      </c>
      <c r="W144" s="169">
        <v>8750</v>
      </c>
      <c r="X144" s="169">
        <f t="shared" si="17"/>
        <v>25000</v>
      </c>
      <c r="Y144" s="151" t="s">
        <v>176</v>
      </c>
    </row>
    <row r="145" spans="2:25" x14ac:dyDescent="0.2">
      <c r="B145" s="187">
        <v>101930</v>
      </c>
      <c r="C145" s="188"/>
      <c r="D145" s="189">
        <v>45265</v>
      </c>
      <c r="E145" s="190">
        <v>-2235.84</v>
      </c>
      <c r="F145" s="191" t="s">
        <v>3</v>
      </c>
      <c r="G145" s="191" t="s">
        <v>196</v>
      </c>
      <c r="H145" s="191"/>
      <c r="I145" s="191" t="s">
        <v>99</v>
      </c>
      <c r="J145" s="190">
        <f t="shared" si="18"/>
        <v>0</v>
      </c>
      <c r="T145" s="151">
        <v>10</v>
      </c>
      <c r="U145" s="168">
        <v>45478</v>
      </c>
      <c r="V145" s="169">
        <v>16250</v>
      </c>
      <c r="W145" s="169">
        <v>8750</v>
      </c>
      <c r="X145" s="169">
        <f t="shared" si="17"/>
        <v>25000</v>
      </c>
      <c r="Y145" s="151" t="s">
        <v>176</v>
      </c>
    </row>
    <row r="146" spans="2:25" x14ac:dyDescent="0.2">
      <c r="B146" s="22">
        <v>101940</v>
      </c>
      <c r="C146" s="9">
        <f>Table149[[#This Row],[Tarih]]+1</f>
        <v>45292</v>
      </c>
      <c r="D146" s="79">
        <v>45291</v>
      </c>
      <c r="E146" s="128">
        <v>3100</v>
      </c>
      <c r="F146" s="2" t="s">
        <v>0</v>
      </c>
      <c r="G146" s="2"/>
      <c r="H146" s="2"/>
      <c r="I146" s="2"/>
      <c r="J146" s="121">
        <f t="shared" si="16"/>
        <v>3100</v>
      </c>
      <c r="T146" s="151">
        <v>11</v>
      </c>
      <c r="U146" s="168">
        <v>45509</v>
      </c>
      <c r="V146" s="169">
        <v>16250</v>
      </c>
      <c r="W146" s="169">
        <v>8750</v>
      </c>
      <c r="X146" s="169">
        <f t="shared" si="17"/>
        <v>25000</v>
      </c>
      <c r="Y146" s="151" t="s">
        <v>176</v>
      </c>
    </row>
    <row r="147" spans="2:25" x14ac:dyDescent="0.2">
      <c r="B147" s="22">
        <v>101950</v>
      </c>
      <c r="C147" s="9"/>
      <c r="D147" s="79">
        <v>45296</v>
      </c>
      <c r="E147" s="128">
        <v>-838</v>
      </c>
      <c r="F147" s="2" t="s">
        <v>108</v>
      </c>
      <c r="G147" s="2" t="s">
        <v>195</v>
      </c>
      <c r="H147" s="2"/>
      <c r="I147" s="2"/>
      <c r="J147" s="121">
        <f t="shared" ref="J147" si="19">E147+J146</f>
        <v>2262</v>
      </c>
      <c r="T147" s="151">
        <v>12</v>
      </c>
      <c r="U147" s="168">
        <v>45540</v>
      </c>
      <c r="V147" s="169">
        <v>16250</v>
      </c>
      <c r="W147" s="169">
        <v>8750</v>
      </c>
      <c r="X147" s="169">
        <f t="shared" si="17"/>
        <v>25000</v>
      </c>
      <c r="Y147" s="151" t="s">
        <v>176</v>
      </c>
    </row>
    <row r="148" spans="2:25" x14ac:dyDescent="0.2">
      <c r="B148" s="187">
        <v>101960</v>
      </c>
      <c r="C148" s="188"/>
      <c r="D148" s="189">
        <v>45296</v>
      </c>
      <c r="E148" s="190">
        <v>-2262</v>
      </c>
      <c r="F148" s="191" t="s">
        <v>3</v>
      </c>
      <c r="G148" s="191" t="s">
        <v>192</v>
      </c>
      <c r="H148" s="191"/>
      <c r="I148" s="191"/>
      <c r="J148" s="190">
        <f>E148+J147</f>
        <v>0</v>
      </c>
      <c r="V148" s="167"/>
      <c r="W148" s="167"/>
      <c r="X148" s="167"/>
    </row>
    <row r="149" spans="2:25" x14ac:dyDescent="0.2">
      <c r="B149" s="22">
        <v>101970</v>
      </c>
      <c r="C149" s="9">
        <f>Table149[[#This Row],[Tarih]]+1</f>
        <v>45323</v>
      </c>
      <c r="D149" s="79">
        <v>45322</v>
      </c>
      <c r="E149" s="128">
        <v>3100</v>
      </c>
      <c r="F149" s="2" t="s">
        <v>0</v>
      </c>
      <c r="G149" s="2"/>
      <c r="H149" s="2"/>
      <c r="I149" s="2"/>
      <c r="J149" s="121">
        <f t="shared" si="16"/>
        <v>3100</v>
      </c>
    </row>
    <row r="150" spans="2:25" x14ac:dyDescent="0.2">
      <c r="B150" s="22">
        <v>101980</v>
      </c>
      <c r="C150" s="9"/>
      <c r="D150" s="79">
        <v>45329</v>
      </c>
      <c r="E150" s="128">
        <v>-816</v>
      </c>
      <c r="F150" s="2" t="s">
        <v>108</v>
      </c>
      <c r="G150" s="2" t="s">
        <v>199</v>
      </c>
      <c r="H150" s="2"/>
      <c r="I150" s="2"/>
      <c r="J150" s="121">
        <f t="shared" si="16"/>
        <v>2284</v>
      </c>
      <c r="L150">
        <f>70000/30.71</f>
        <v>2279.3878215564964</v>
      </c>
    </row>
    <row r="151" spans="2:25" x14ac:dyDescent="0.2">
      <c r="B151" s="187">
        <v>101990</v>
      </c>
      <c r="C151" s="188"/>
      <c r="D151" s="189">
        <v>45329</v>
      </c>
      <c r="E151" s="190">
        <v>-2284</v>
      </c>
      <c r="F151" s="191" t="s">
        <v>3</v>
      </c>
      <c r="G151" s="191" t="s">
        <v>200</v>
      </c>
      <c r="H151" s="191"/>
      <c r="I151" s="191"/>
      <c r="J151" s="190">
        <f>E151+J150</f>
        <v>0</v>
      </c>
      <c r="L151">
        <v>95000</v>
      </c>
      <c r="M151">
        <v>3100</v>
      </c>
      <c r="N151">
        <f>L151/M151</f>
        <v>30.64516129032258</v>
      </c>
    </row>
    <row r="152" spans="2:25" x14ac:dyDescent="0.2">
      <c r="B152" s="22">
        <v>102000</v>
      </c>
      <c r="C152" s="9">
        <f>Table149[[#This Row],[Tarih]]+1</f>
        <v>45352</v>
      </c>
      <c r="D152" s="79">
        <v>45351</v>
      </c>
      <c r="E152" s="128">
        <v>3100</v>
      </c>
      <c r="F152" s="2" t="s">
        <v>0</v>
      </c>
      <c r="G152" s="2"/>
      <c r="H152" s="2"/>
      <c r="I152" s="2"/>
      <c r="J152" s="121">
        <f t="shared" si="16"/>
        <v>3100</v>
      </c>
    </row>
    <row r="153" spans="2:25" x14ac:dyDescent="0.2">
      <c r="B153" s="22">
        <v>102010</v>
      </c>
      <c r="C153" s="9"/>
      <c r="D153" s="79">
        <v>45329</v>
      </c>
      <c r="E153" s="128">
        <f>-25000/((75400+25000)/3100)</f>
        <v>-771.91235059760947</v>
      </c>
      <c r="F153" s="2" t="s">
        <v>108</v>
      </c>
      <c r="G153" s="2" t="s">
        <v>194</v>
      </c>
      <c r="H153" s="2"/>
      <c r="I153" s="2"/>
      <c r="J153" s="121">
        <f t="shared" ref="J153" si="20">E153+J152</f>
        <v>2328.0876494023905</v>
      </c>
      <c r="M153">
        <f>((75400+25000)/3100)</f>
        <v>32.387096774193552</v>
      </c>
    </row>
    <row r="154" spans="2:25" x14ac:dyDescent="0.2">
      <c r="B154" s="187">
        <v>102020</v>
      </c>
      <c r="C154" s="188"/>
      <c r="D154" s="189">
        <v>45329</v>
      </c>
      <c r="E154" s="190">
        <f>-75400/((75400+25000)/3100)</f>
        <v>-2328.0876494023901</v>
      </c>
      <c r="F154" s="191" t="s">
        <v>3</v>
      </c>
      <c r="G154" s="191" t="s">
        <v>209</v>
      </c>
      <c r="H154" s="191"/>
      <c r="I154" s="191"/>
      <c r="J154" s="190">
        <f>E154+J153</f>
        <v>0</v>
      </c>
    </row>
    <row r="155" spans="2:25" x14ac:dyDescent="0.2">
      <c r="B155" s="206">
        <v>102030</v>
      </c>
      <c r="C155" s="56">
        <f>Table149[[#This Row],[Tarih]]+1</f>
        <v>45383</v>
      </c>
      <c r="D155" s="93">
        <v>45382</v>
      </c>
      <c r="E155" s="207">
        <v>3100</v>
      </c>
      <c r="F155" s="58" t="s">
        <v>0</v>
      </c>
      <c r="G155" s="58"/>
      <c r="H155" s="58"/>
      <c r="I155" s="58"/>
      <c r="J155" s="208">
        <f t="shared" si="16"/>
        <v>3100</v>
      </c>
    </row>
    <row r="156" spans="2:25" x14ac:dyDescent="0.2">
      <c r="B156" s="209">
        <v>102040</v>
      </c>
      <c r="C156" s="9"/>
      <c r="D156" s="87">
        <v>45385</v>
      </c>
      <c r="E156" s="121">
        <f>-25000/((75130+25000)/3100)</f>
        <v>-773.99380804953569</v>
      </c>
      <c r="F156" s="12" t="s">
        <v>108</v>
      </c>
      <c r="G156" s="12" t="s">
        <v>194</v>
      </c>
      <c r="H156" s="12"/>
      <c r="I156" s="12"/>
      <c r="J156" s="210">
        <f t="shared" si="16"/>
        <v>2326.0061919504642</v>
      </c>
    </row>
    <row r="157" spans="2:25" x14ac:dyDescent="0.2">
      <c r="B157" s="211">
        <v>102050</v>
      </c>
      <c r="C157" s="188"/>
      <c r="D157" s="189">
        <v>45385</v>
      </c>
      <c r="E157" s="190">
        <f>-75130/((75130+25000)/3100)</f>
        <v>-2326.0061919504647</v>
      </c>
      <c r="F157" s="191" t="s">
        <v>3</v>
      </c>
      <c r="G157" s="191" t="s">
        <v>212</v>
      </c>
      <c r="H157" s="191"/>
      <c r="I157" s="191"/>
      <c r="J157" s="212">
        <f t="shared" si="16"/>
        <v>0</v>
      </c>
    </row>
    <row r="158" spans="2:25" x14ac:dyDescent="0.2">
      <c r="B158" s="206">
        <v>102060</v>
      </c>
      <c r="C158" s="56">
        <f>Table149[[#This Row],[Tarih]]+1</f>
        <v>45413</v>
      </c>
      <c r="D158" s="93">
        <v>45412</v>
      </c>
      <c r="E158" s="207">
        <v>3100</v>
      </c>
      <c r="F158" s="58" t="s">
        <v>0</v>
      </c>
      <c r="G158" s="58"/>
      <c r="H158" s="58"/>
      <c r="I158" s="58"/>
      <c r="J158" s="208">
        <f t="shared" si="16"/>
        <v>3100</v>
      </c>
    </row>
    <row r="159" spans="2:25" x14ac:dyDescent="0.2">
      <c r="B159" s="209">
        <v>102070</v>
      </c>
      <c r="C159" s="9"/>
      <c r="D159" s="87">
        <v>45414</v>
      </c>
      <c r="E159" s="121">
        <f>-25000/((75000+25000)/3100)</f>
        <v>-775</v>
      </c>
      <c r="F159" s="12" t="s">
        <v>108</v>
      </c>
      <c r="G159" s="12" t="s">
        <v>194</v>
      </c>
      <c r="H159" s="12"/>
      <c r="I159" s="12"/>
      <c r="J159" s="210">
        <f t="shared" ref="J159:J160" si="21">E159+J158</f>
        <v>2325</v>
      </c>
    </row>
    <row r="160" spans="2:25" x14ac:dyDescent="0.2">
      <c r="B160" s="211">
        <v>102080</v>
      </c>
      <c r="C160" s="188"/>
      <c r="D160" s="189">
        <v>45414</v>
      </c>
      <c r="E160" s="190">
        <f>-75000/((75000+25000)/3100)</f>
        <v>-2325</v>
      </c>
      <c r="F160" s="191" t="s">
        <v>3</v>
      </c>
      <c r="G160" s="191" t="s">
        <v>217</v>
      </c>
      <c r="H160" s="191"/>
      <c r="I160" s="191"/>
      <c r="J160" s="212">
        <f t="shared" si="21"/>
        <v>0</v>
      </c>
    </row>
    <row r="161" spans="2:10" x14ac:dyDescent="0.2">
      <c r="B161" s="206">
        <v>102090</v>
      </c>
      <c r="C161" s="56">
        <f>Table149[[#This Row],[Tarih]]+1</f>
        <v>45444</v>
      </c>
      <c r="D161" s="93">
        <v>45443</v>
      </c>
      <c r="E161" s="207">
        <v>3100</v>
      </c>
      <c r="F161" s="58" t="s">
        <v>0</v>
      </c>
      <c r="G161" s="58"/>
      <c r="H161" s="58"/>
      <c r="I161" s="58"/>
      <c r="J161" s="208">
        <f t="shared" si="16"/>
        <v>3100</v>
      </c>
    </row>
    <row r="162" spans="2:10" x14ac:dyDescent="0.2">
      <c r="B162" s="209">
        <v>102100</v>
      </c>
      <c r="C162" s="9"/>
      <c r="D162" s="87">
        <v>45450</v>
      </c>
      <c r="E162" s="121">
        <f>-25000/((74700+25000)/3100)</f>
        <v>-777.33199598796386</v>
      </c>
      <c r="F162" s="12" t="s">
        <v>108</v>
      </c>
      <c r="G162" s="12" t="s">
        <v>194</v>
      </c>
      <c r="H162" s="12"/>
      <c r="I162" s="12"/>
      <c r="J162" s="210">
        <f t="shared" si="16"/>
        <v>2322.6680040120364</v>
      </c>
    </row>
    <row r="163" spans="2:10" x14ac:dyDescent="0.2">
      <c r="B163" s="211">
        <v>102110</v>
      </c>
      <c r="C163" s="188"/>
      <c r="D163" s="189">
        <v>45450</v>
      </c>
      <c r="E163" s="190">
        <f>-74700/((74700+25000)/3100)</f>
        <v>-2322.6680040120359</v>
      </c>
      <c r="F163" s="191" t="s">
        <v>3</v>
      </c>
      <c r="G163" s="191" t="s">
        <v>217</v>
      </c>
      <c r="H163" s="191"/>
      <c r="I163" s="191"/>
      <c r="J163" s="212">
        <f t="shared" si="16"/>
        <v>0</v>
      </c>
    </row>
    <row r="164" spans="2:10" x14ac:dyDescent="0.2">
      <c r="B164" s="206">
        <v>102120</v>
      </c>
      <c r="C164" s="56">
        <f>Table149[[#This Row],[Tarih]]+1</f>
        <v>45474</v>
      </c>
      <c r="D164" s="93">
        <v>45473</v>
      </c>
      <c r="E164" s="207">
        <v>3100</v>
      </c>
      <c r="F164" s="58" t="s">
        <v>0</v>
      </c>
      <c r="G164" s="58"/>
      <c r="H164" s="58"/>
      <c r="I164" s="58"/>
      <c r="J164" s="208">
        <f t="shared" si="16"/>
        <v>3100</v>
      </c>
    </row>
    <row r="165" spans="2:10" x14ac:dyDescent="0.2">
      <c r="B165" s="209">
        <v>102130</v>
      </c>
      <c r="C165" s="9"/>
      <c r="D165" s="87">
        <v>45477</v>
      </c>
      <c r="E165" s="121">
        <f>-25000/((76000+25000)/3100)</f>
        <v>-767.32673267326743</v>
      </c>
      <c r="F165" s="12" t="s">
        <v>108</v>
      </c>
      <c r="G165" s="12" t="s">
        <v>194</v>
      </c>
      <c r="H165" s="12"/>
      <c r="I165" s="12"/>
      <c r="J165" s="210">
        <f t="shared" ref="J165:J166" si="22">E165+J164</f>
        <v>2332.6732673267325</v>
      </c>
    </row>
    <row r="166" spans="2:10" x14ac:dyDescent="0.2">
      <c r="B166" s="211">
        <v>102140</v>
      </c>
      <c r="C166" s="188"/>
      <c r="D166" s="189">
        <v>45478</v>
      </c>
      <c r="E166" s="190">
        <f>-76000/((76000+25000)/3100)</f>
        <v>-2332.6732673267329</v>
      </c>
      <c r="F166" s="191" t="s">
        <v>3</v>
      </c>
      <c r="G166" s="191" t="s">
        <v>217</v>
      </c>
      <c r="H166" s="191"/>
      <c r="I166" s="191"/>
      <c r="J166" s="212">
        <f t="shared" si="22"/>
        <v>0</v>
      </c>
    </row>
    <row r="167" spans="2:10" x14ac:dyDescent="0.2">
      <c r="B167" s="22">
        <v>102150</v>
      </c>
      <c r="C167" s="9">
        <f>Table149[[#This Row],[Tarih]]+1</f>
        <v>45505</v>
      </c>
      <c r="D167" s="79">
        <v>45504</v>
      </c>
      <c r="E167" s="128">
        <v>3100</v>
      </c>
      <c r="F167" s="2" t="s">
        <v>0</v>
      </c>
      <c r="G167" s="2"/>
      <c r="H167" s="2"/>
      <c r="I167" s="2"/>
      <c r="J167" s="121">
        <f t="shared" si="16"/>
        <v>3100</v>
      </c>
    </row>
    <row r="168" spans="2:10" x14ac:dyDescent="0.2">
      <c r="B168" s="22">
        <v>102160</v>
      </c>
      <c r="C168" s="9"/>
      <c r="D168" s="87">
        <v>45512</v>
      </c>
      <c r="E168" s="121">
        <f>-25000/((77850+25000)/3100)</f>
        <v>-753.52455031599413</v>
      </c>
      <c r="F168" s="12" t="s">
        <v>108</v>
      </c>
      <c r="G168" s="12" t="s">
        <v>194</v>
      </c>
      <c r="H168" s="12"/>
      <c r="I168" s="12"/>
      <c r="J168" s="210">
        <f t="shared" si="16"/>
        <v>2346.475449684006</v>
      </c>
    </row>
    <row r="169" spans="2:10" x14ac:dyDescent="0.2">
      <c r="B169" s="187">
        <v>102170</v>
      </c>
      <c r="C169" s="188"/>
      <c r="D169" s="87">
        <v>45512</v>
      </c>
      <c r="E169" s="190">
        <f>-77850/((77850+25000)/3100)</f>
        <v>-2346.4754496840055</v>
      </c>
      <c r="F169" s="191" t="s">
        <v>3</v>
      </c>
      <c r="G169" s="191" t="s">
        <v>234</v>
      </c>
      <c r="H169" s="191"/>
      <c r="I169" s="191"/>
      <c r="J169" s="190">
        <f t="shared" si="16"/>
        <v>0</v>
      </c>
    </row>
    <row r="170" spans="2:10" x14ac:dyDescent="0.2">
      <c r="B170" s="22">
        <v>102180</v>
      </c>
      <c r="C170" s="9">
        <f>Table149[[#This Row],[Tarih]]+1</f>
        <v>45536</v>
      </c>
      <c r="D170" s="79">
        <v>45535</v>
      </c>
      <c r="E170" s="128">
        <v>3100</v>
      </c>
      <c r="F170" s="2" t="s">
        <v>0</v>
      </c>
      <c r="G170" s="2"/>
      <c r="H170" s="2"/>
      <c r="I170" s="2"/>
      <c r="J170" s="121">
        <f t="shared" si="16"/>
        <v>3100</v>
      </c>
    </row>
    <row r="171" spans="2:10" x14ac:dyDescent="0.2">
      <c r="B171" s="22">
        <v>102190</v>
      </c>
      <c r="C171" s="9"/>
      <c r="D171" s="79">
        <v>45540</v>
      </c>
      <c r="E171" s="128">
        <f>-25000/((80200+25000)/3100)</f>
        <v>-736.69201520912543</v>
      </c>
      <c r="F171" s="12" t="s">
        <v>108</v>
      </c>
      <c r="G171" s="2"/>
      <c r="H171" s="2"/>
      <c r="I171" s="2"/>
      <c r="J171" s="121">
        <f t="shared" si="16"/>
        <v>2363.3079847908748</v>
      </c>
    </row>
    <row r="172" spans="2:10" ht="17" thickBot="1" x14ac:dyDescent="0.25">
      <c r="B172" s="65">
        <v>102200</v>
      </c>
      <c r="C172" s="33"/>
      <c r="D172" s="82">
        <v>45540</v>
      </c>
      <c r="E172" s="214">
        <f>-80200/((80200+25000)/3100)</f>
        <v>-2363.3079847908743</v>
      </c>
      <c r="F172" s="10" t="s">
        <v>3</v>
      </c>
      <c r="G172" s="10"/>
      <c r="H172" s="10"/>
      <c r="I172" s="10"/>
      <c r="J172" s="214">
        <f t="shared" si="16"/>
        <v>0</v>
      </c>
    </row>
    <row r="173" spans="2:10" ht="17" thickTop="1" x14ac:dyDescent="0.2">
      <c r="B173" s="22">
        <v>102210</v>
      </c>
      <c r="C173" s="9">
        <f>Table149[[#This Row],[Tarih]]+1</f>
        <v>45566</v>
      </c>
      <c r="D173" s="79">
        <v>45565</v>
      </c>
      <c r="E173" s="128">
        <v>3100</v>
      </c>
      <c r="F173" s="2" t="s">
        <v>0</v>
      </c>
      <c r="G173" s="15" t="s">
        <v>426</v>
      </c>
      <c r="H173" s="2"/>
      <c r="I173" s="2"/>
      <c r="J173" s="121">
        <f t="shared" si="16"/>
        <v>3100</v>
      </c>
    </row>
    <row r="174" spans="2:10" x14ac:dyDescent="0.2">
      <c r="B174" s="22">
        <v>102220</v>
      </c>
      <c r="C174" s="9"/>
      <c r="D174" s="79">
        <v>45567</v>
      </c>
      <c r="E174" s="128">
        <f>-25000/((81200+25000)/3100)</f>
        <v>-729.7551789077213</v>
      </c>
      <c r="F174" s="12" t="s">
        <v>108</v>
      </c>
      <c r="G174" s="2"/>
      <c r="H174" s="2"/>
      <c r="I174" s="2"/>
      <c r="J174" s="121">
        <f t="shared" si="16"/>
        <v>2370.2448210922785</v>
      </c>
    </row>
    <row r="175" spans="2:10" x14ac:dyDescent="0.2">
      <c r="B175" s="187">
        <v>102230</v>
      </c>
      <c r="C175" s="188"/>
      <c r="D175" s="189">
        <v>45567</v>
      </c>
      <c r="E175" s="190">
        <f>-81200/((81200+25000)/3100)</f>
        <v>-2370.2448210922789</v>
      </c>
      <c r="F175" s="191" t="s">
        <v>3</v>
      </c>
      <c r="G175" s="191"/>
      <c r="H175" s="191"/>
      <c r="I175" s="191"/>
      <c r="J175" s="190">
        <f t="shared" si="16"/>
        <v>0</v>
      </c>
    </row>
    <row r="176" spans="2:10" x14ac:dyDescent="0.2">
      <c r="B176" s="22">
        <v>102240</v>
      </c>
      <c r="C176" s="2"/>
      <c r="D176" s="79">
        <v>45596</v>
      </c>
      <c r="E176" s="128">
        <v>3400</v>
      </c>
      <c r="F176" s="2" t="s">
        <v>0</v>
      </c>
      <c r="G176" s="2"/>
      <c r="H176" s="2"/>
      <c r="I176" s="2"/>
      <c r="J176" s="121">
        <f t="shared" si="16"/>
        <v>3400</v>
      </c>
    </row>
    <row r="177" spans="2:10" x14ac:dyDescent="0.2">
      <c r="B177" s="22">
        <v>102250</v>
      </c>
      <c r="C177" s="2"/>
      <c r="D177" s="79">
        <v>45604</v>
      </c>
      <c r="E177" s="128">
        <f>-25000/((91500+25000)/E176)</f>
        <v>-729.61373390557935</v>
      </c>
      <c r="F177" s="12" t="s">
        <v>108</v>
      </c>
      <c r="G177" s="2"/>
      <c r="H177" s="2"/>
      <c r="I177" s="2"/>
      <c r="J177" s="121">
        <f t="shared" si="16"/>
        <v>2670.3862660944205</v>
      </c>
    </row>
    <row r="178" spans="2:10" x14ac:dyDescent="0.2">
      <c r="B178" s="187">
        <v>102260</v>
      </c>
      <c r="C178" s="191"/>
      <c r="D178" s="189">
        <v>45604</v>
      </c>
      <c r="E178" s="190">
        <f>-91500/((91500+25000)/E176)</f>
        <v>-2670.3862660944205</v>
      </c>
      <c r="F178" s="191" t="s">
        <v>3</v>
      </c>
      <c r="G178" s="191"/>
      <c r="H178" s="191"/>
      <c r="I178" s="191"/>
      <c r="J178" s="190">
        <f t="shared" si="16"/>
        <v>0</v>
      </c>
    </row>
    <row r="179" spans="2:10" x14ac:dyDescent="0.2">
      <c r="B179" s="22">
        <v>102270</v>
      </c>
      <c r="C179" s="2"/>
      <c r="D179" s="79">
        <v>45626</v>
      </c>
      <c r="E179" s="128">
        <v>3400</v>
      </c>
      <c r="F179" s="2" t="s">
        <v>0</v>
      </c>
      <c r="G179" s="2"/>
      <c r="H179" s="2"/>
      <c r="I179" s="2"/>
      <c r="J179" s="121">
        <f t="shared" si="16"/>
        <v>3400</v>
      </c>
    </row>
    <row r="180" spans="2:10" x14ac:dyDescent="0.2">
      <c r="B180" s="22">
        <v>102280</v>
      </c>
      <c r="C180" s="2"/>
      <c r="D180" s="79">
        <v>45631</v>
      </c>
      <c r="E180" s="128">
        <f>-25000/((92800+25000)/E179)</f>
        <v>-721.56196943972827</v>
      </c>
      <c r="F180" s="12" t="s">
        <v>108</v>
      </c>
      <c r="G180" s="2"/>
      <c r="H180" s="2"/>
      <c r="I180" s="2"/>
      <c r="J180" s="121">
        <f t="shared" si="16"/>
        <v>2678.4380305602717</v>
      </c>
    </row>
    <row r="181" spans="2:10" x14ac:dyDescent="0.2">
      <c r="B181" s="187">
        <v>102290</v>
      </c>
      <c r="C181" s="191"/>
      <c r="D181" s="189">
        <v>45631</v>
      </c>
      <c r="E181" s="190">
        <f>-92800/((92800+25000)/E179)</f>
        <v>-2678.4380305602717</v>
      </c>
      <c r="F181" s="191" t="s">
        <v>3</v>
      </c>
      <c r="G181" s="191"/>
      <c r="H181" s="191"/>
      <c r="I181" s="191"/>
      <c r="J181" s="190">
        <f t="shared" si="16"/>
        <v>0</v>
      </c>
    </row>
    <row r="182" spans="2:10" x14ac:dyDescent="0.2">
      <c r="B182" s="22">
        <v>102300</v>
      </c>
      <c r="C182" s="2"/>
      <c r="D182" s="79">
        <v>45657</v>
      </c>
      <c r="E182" s="128">
        <v>3400</v>
      </c>
      <c r="F182" s="2" t="s">
        <v>0</v>
      </c>
      <c r="G182" s="2"/>
      <c r="H182" s="2"/>
      <c r="I182" s="2"/>
      <c r="J182" s="121">
        <f t="shared" si="16"/>
        <v>3400</v>
      </c>
    </row>
    <row r="183" spans="2:10" x14ac:dyDescent="0.2">
      <c r="B183" s="22">
        <v>102310</v>
      </c>
      <c r="C183" s="2"/>
      <c r="D183" s="79">
        <v>45664</v>
      </c>
      <c r="E183" s="128">
        <f>-25000/((95000+25000)/E182)</f>
        <v>-708.33333333333326</v>
      </c>
      <c r="F183" s="12" t="s">
        <v>108</v>
      </c>
      <c r="G183" s="2"/>
      <c r="H183" s="2"/>
      <c r="I183" s="2"/>
      <c r="J183" s="121">
        <f t="shared" si="16"/>
        <v>2691.666666666667</v>
      </c>
    </row>
    <row r="184" spans="2:10" x14ac:dyDescent="0.2">
      <c r="B184" s="187">
        <v>102320</v>
      </c>
      <c r="C184" s="191"/>
      <c r="D184" s="189">
        <v>45664</v>
      </c>
      <c r="E184" s="190">
        <f>-95000/((95000+25000)/3400)</f>
        <v>-2691.6666666666665</v>
      </c>
      <c r="F184" s="191" t="s">
        <v>3</v>
      </c>
      <c r="G184" s="191"/>
      <c r="H184" s="191"/>
      <c r="I184" s="191"/>
      <c r="J184" s="190">
        <f t="shared" si="16"/>
        <v>0</v>
      </c>
    </row>
    <row r="185" spans="2:10" x14ac:dyDescent="0.2">
      <c r="B185" s="22">
        <v>102330</v>
      </c>
      <c r="C185" s="2"/>
      <c r="D185" s="79">
        <v>45688</v>
      </c>
      <c r="E185" s="128">
        <v>3400</v>
      </c>
      <c r="F185" s="2" t="s">
        <v>0</v>
      </c>
      <c r="G185" s="2"/>
      <c r="H185" s="2"/>
      <c r="I185" s="2"/>
      <c r="J185" s="121">
        <f t="shared" si="16"/>
        <v>3400</v>
      </c>
    </row>
    <row r="186" spans="2:10" x14ac:dyDescent="0.2">
      <c r="B186" s="22">
        <v>102340</v>
      </c>
      <c r="C186" s="2"/>
      <c r="D186" s="79">
        <v>45694</v>
      </c>
      <c r="E186" s="128">
        <f>-25000/((97500+25000)/E185)</f>
        <v>-693.87755102040808</v>
      </c>
      <c r="F186" s="12" t="s">
        <v>108</v>
      </c>
      <c r="G186" s="2"/>
      <c r="H186" s="2"/>
      <c r="I186" s="2"/>
      <c r="J186" s="121">
        <f t="shared" si="16"/>
        <v>2706.1224489795918</v>
      </c>
    </row>
    <row r="187" spans="2:10" x14ac:dyDescent="0.2">
      <c r="B187" s="187">
        <v>102380</v>
      </c>
      <c r="C187" s="191"/>
      <c r="D187" s="189">
        <v>45694</v>
      </c>
      <c r="E187" s="190">
        <f>-97500/((97500+25000)/E185)</f>
        <v>-2706.1224489795918</v>
      </c>
      <c r="F187" s="191" t="s">
        <v>3</v>
      </c>
      <c r="G187" s="191"/>
      <c r="H187" s="191"/>
      <c r="I187" s="191"/>
      <c r="J187" s="190">
        <f t="shared" ref="J187" si="23">E187+J186</f>
        <v>0</v>
      </c>
    </row>
    <row r="188" spans="2:10" x14ac:dyDescent="0.2">
      <c r="B188" s="22">
        <v>102360</v>
      </c>
      <c r="C188" s="2"/>
      <c r="D188" s="79">
        <v>45716</v>
      </c>
      <c r="E188" s="128">
        <v>3400</v>
      </c>
      <c r="F188" s="2" t="s">
        <v>0</v>
      </c>
      <c r="G188" s="2"/>
      <c r="H188" s="2"/>
      <c r="I188" s="2"/>
      <c r="J188" s="121">
        <f t="shared" si="16"/>
        <v>3400</v>
      </c>
    </row>
    <row r="189" spans="2:10" x14ac:dyDescent="0.2">
      <c r="B189" s="22">
        <v>102370</v>
      </c>
      <c r="C189" s="2"/>
      <c r="D189" s="79">
        <v>45723</v>
      </c>
      <c r="E189" s="128">
        <f>-25000/((99100+25000)/E188)</f>
        <v>-684.93150684931504</v>
      </c>
      <c r="F189" s="12" t="s">
        <v>108</v>
      </c>
      <c r="G189" s="2"/>
      <c r="H189" s="2"/>
      <c r="I189" s="2"/>
      <c r="J189" s="121">
        <f t="shared" ref="J189" si="24">E189+J188</f>
        <v>2715.0684931506848</v>
      </c>
    </row>
    <row r="190" spans="2:10" x14ac:dyDescent="0.2">
      <c r="B190" s="187">
        <v>102380</v>
      </c>
      <c r="C190" s="191"/>
      <c r="D190" s="189">
        <v>45723</v>
      </c>
      <c r="E190" s="190">
        <f>-99100/((99100+25000)/E188)</f>
        <v>-2715.0684931506848</v>
      </c>
      <c r="F190" s="191" t="s">
        <v>3</v>
      </c>
      <c r="G190" s="191"/>
      <c r="H190" s="191"/>
      <c r="I190" s="191"/>
      <c r="J190" s="190">
        <f t="shared" si="16"/>
        <v>0</v>
      </c>
    </row>
    <row r="191" spans="2:10" x14ac:dyDescent="0.2">
      <c r="B191" s="22">
        <v>102390</v>
      </c>
      <c r="C191" s="2"/>
      <c r="D191" s="79">
        <v>45747</v>
      </c>
      <c r="E191" s="128">
        <v>3400</v>
      </c>
      <c r="F191" s="2" t="s">
        <v>0</v>
      </c>
      <c r="G191" s="2"/>
      <c r="H191" s="2"/>
      <c r="I191" s="2"/>
      <c r="J191" s="121">
        <f t="shared" si="16"/>
        <v>3400</v>
      </c>
    </row>
    <row r="192" spans="2:10" x14ac:dyDescent="0.2">
      <c r="B192" s="22">
        <v>102400</v>
      </c>
      <c r="C192" s="2"/>
      <c r="D192" s="79">
        <v>45758</v>
      </c>
      <c r="E192" s="128">
        <f>-25000/((104400+25000)/E191)</f>
        <v>-656.87789799072641</v>
      </c>
      <c r="F192" s="12" t="s">
        <v>108</v>
      </c>
      <c r="G192" s="2"/>
      <c r="H192" s="2"/>
      <c r="I192" s="2"/>
      <c r="J192" s="121">
        <f t="shared" si="16"/>
        <v>2743.1221020092735</v>
      </c>
    </row>
    <row r="193" spans="2:10" x14ac:dyDescent="0.2">
      <c r="B193" s="187">
        <v>102410</v>
      </c>
      <c r="C193" s="191"/>
      <c r="D193" s="189">
        <v>45758</v>
      </c>
      <c r="E193" s="190">
        <f>-104400/((104400+25000)/E191)</f>
        <v>-2743.1221020092735</v>
      </c>
      <c r="F193" s="191" t="s">
        <v>3</v>
      </c>
      <c r="G193" s="191"/>
      <c r="H193" s="191"/>
      <c r="I193" s="191"/>
      <c r="J193" s="190">
        <f t="shared" ref="J193" si="25">E193+J192</f>
        <v>0</v>
      </c>
    </row>
    <row r="194" spans="2:10" x14ac:dyDescent="0.2">
      <c r="B194" s="22">
        <v>102420</v>
      </c>
      <c r="C194" s="2"/>
      <c r="D194" s="79">
        <v>45777</v>
      </c>
      <c r="E194" s="128">
        <v>3400</v>
      </c>
      <c r="F194" s="2" t="s">
        <v>0</v>
      </c>
      <c r="G194" s="2"/>
      <c r="H194" s="2"/>
      <c r="I194" s="2"/>
      <c r="J194" s="121">
        <f t="shared" si="16"/>
        <v>3400</v>
      </c>
    </row>
    <row r="195" spans="2:10" x14ac:dyDescent="0.2">
      <c r="B195" s="22">
        <v>102430</v>
      </c>
      <c r="C195" s="2"/>
      <c r="D195" s="79">
        <v>45789</v>
      </c>
      <c r="E195" s="128">
        <f>-25000/((106900+25000)/E194)</f>
        <v>-644.42759666413951</v>
      </c>
      <c r="F195" s="12" t="s">
        <v>108</v>
      </c>
      <c r="G195" s="2"/>
      <c r="H195" s="2"/>
      <c r="I195" s="2"/>
      <c r="J195" s="121">
        <f t="shared" ref="J195" si="26">E195+J194</f>
        <v>2755.5724033358606</v>
      </c>
    </row>
    <row r="196" spans="2:10" x14ac:dyDescent="0.2">
      <c r="B196" s="187">
        <v>102440</v>
      </c>
      <c r="C196" s="191"/>
      <c r="D196" s="189">
        <v>45789</v>
      </c>
      <c r="E196" s="190">
        <f>-106900/((106900+25000)/E194)</f>
        <v>-2755.5724033358601</v>
      </c>
      <c r="F196" s="191" t="s">
        <v>3</v>
      </c>
      <c r="G196" s="191"/>
      <c r="H196" s="191"/>
      <c r="I196" s="191"/>
      <c r="J196" s="190">
        <f t="shared" si="16"/>
        <v>0</v>
      </c>
    </row>
    <row r="197" spans="2:10" x14ac:dyDescent="0.2">
      <c r="B197" s="22">
        <v>102450</v>
      </c>
      <c r="C197" s="2"/>
      <c r="D197" s="79">
        <v>45808</v>
      </c>
      <c r="E197" s="128">
        <v>3400</v>
      </c>
      <c r="F197" s="2" t="s">
        <v>0</v>
      </c>
      <c r="G197" s="2"/>
      <c r="H197" s="2"/>
      <c r="I197" s="2"/>
      <c r="J197" s="121">
        <f t="shared" si="16"/>
        <v>3400</v>
      </c>
    </row>
    <row r="198" spans="2:10" x14ac:dyDescent="0.2">
      <c r="B198" s="22">
        <v>102460</v>
      </c>
      <c r="C198" s="2"/>
      <c r="D198" s="79">
        <v>45819</v>
      </c>
      <c r="E198" s="128">
        <f>-25000/((108500+25000)/E197)</f>
        <v>-636.70411985018723</v>
      </c>
      <c r="F198" s="12" t="s">
        <v>108</v>
      </c>
      <c r="G198" s="2"/>
      <c r="H198" s="2"/>
      <c r="I198" s="2"/>
      <c r="J198" s="121">
        <f t="shared" si="16"/>
        <v>2763.2958801498125</v>
      </c>
    </row>
    <row r="199" spans="2:10" x14ac:dyDescent="0.2">
      <c r="B199" s="187">
        <v>102470</v>
      </c>
      <c r="C199" s="191"/>
      <c r="D199" s="189">
        <v>45819</v>
      </c>
      <c r="E199" s="190">
        <f>-108500/((108500+25000)/E197)</f>
        <v>-2763.2958801498125</v>
      </c>
      <c r="F199" s="191" t="s">
        <v>3</v>
      </c>
      <c r="G199" s="191"/>
      <c r="H199" s="191"/>
      <c r="I199" s="191"/>
      <c r="J199" s="190">
        <f t="shared" ref="J199" si="27">E199+J198</f>
        <v>0</v>
      </c>
    </row>
    <row r="200" spans="2:10" x14ac:dyDescent="0.2">
      <c r="B200" s="22">
        <v>102480</v>
      </c>
      <c r="C200" s="2"/>
      <c r="D200" s="79">
        <v>45838</v>
      </c>
      <c r="E200" s="128">
        <v>3400</v>
      </c>
      <c r="F200" s="2" t="s">
        <v>0</v>
      </c>
      <c r="G200" s="2"/>
      <c r="H200" s="2"/>
      <c r="I200" s="2"/>
      <c r="J200" s="121">
        <f t="shared" si="16"/>
        <v>3400</v>
      </c>
    </row>
    <row r="201" spans="2:10" x14ac:dyDescent="0.2">
      <c r="B201" s="22">
        <v>102490</v>
      </c>
      <c r="C201" s="2"/>
      <c r="D201" s="79">
        <v>45846</v>
      </c>
      <c r="E201" s="128">
        <f>-25000/((111200+25000)/3400)</f>
        <v>-624.08223201174735</v>
      </c>
      <c r="F201" s="12" t="s">
        <v>108</v>
      </c>
      <c r="G201" s="2"/>
      <c r="H201" s="2"/>
      <c r="I201" s="2"/>
      <c r="J201" s="121">
        <f t="shared" si="16"/>
        <v>2775.9177679882528</v>
      </c>
    </row>
    <row r="202" spans="2:10" x14ac:dyDescent="0.2">
      <c r="B202" s="187">
        <v>102500</v>
      </c>
      <c r="C202" s="191"/>
      <c r="D202" s="189">
        <v>45846</v>
      </c>
      <c r="E202" s="190">
        <f>-111200/((111200+25000)/3400)</f>
        <v>-2775.9177679882523</v>
      </c>
      <c r="F202" s="191" t="s">
        <v>3</v>
      </c>
      <c r="G202" s="191"/>
      <c r="H202" s="191"/>
      <c r="I202" s="191"/>
      <c r="J202" s="190">
        <f t="shared" si="16"/>
        <v>0</v>
      </c>
    </row>
    <row r="203" spans="2:10" x14ac:dyDescent="0.2">
      <c r="B203" s="22">
        <v>102510</v>
      </c>
      <c r="C203" s="2"/>
      <c r="D203" s="79">
        <v>45869</v>
      </c>
      <c r="E203" s="128">
        <v>3400</v>
      </c>
      <c r="F203" s="2" t="s">
        <v>0</v>
      </c>
      <c r="G203" s="2"/>
      <c r="H203" s="2"/>
      <c r="I203" s="2"/>
      <c r="J203" s="121">
        <f t="shared" ref="J203:J254" si="28">E203+J202</f>
        <v>3400</v>
      </c>
    </row>
    <row r="204" spans="2:10" x14ac:dyDescent="0.2">
      <c r="B204" s="22">
        <v>102520</v>
      </c>
      <c r="C204" s="2"/>
      <c r="D204" s="79">
        <v>45875</v>
      </c>
      <c r="E204" s="128">
        <f>-25000/((113300+25000)/3400)</f>
        <v>-614.60592913955168</v>
      </c>
      <c r="F204" s="12" t="s">
        <v>108</v>
      </c>
      <c r="G204" s="2"/>
      <c r="H204" s="2"/>
      <c r="I204" s="2"/>
      <c r="J204" s="121">
        <f t="shared" si="28"/>
        <v>2785.3940708604482</v>
      </c>
    </row>
    <row r="205" spans="2:10" x14ac:dyDescent="0.2">
      <c r="B205" s="187">
        <v>102530</v>
      </c>
      <c r="C205" s="191"/>
      <c r="D205" s="189">
        <v>45875</v>
      </c>
      <c r="E205" s="190">
        <f>-113300/((113300+25000)/3400)</f>
        <v>-2785.3940708604482</v>
      </c>
      <c r="F205" s="191" t="s">
        <v>3</v>
      </c>
      <c r="G205" s="191"/>
      <c r="H205" s="191"/>
      <c r="I205" s="191"/>
      <c r="J205" s="190">
        <f t="shared" si="28"/>
        <v>0</v>
      </c>
    </row>
    <row r="206" spans="2:10" x14ac:dyDescent="0.2">
      <c r="B206" s="22">
        <v>102540</v>
      </c>
      <c r="C206" s="2"/>
      <c r="D206" s="79">
        <v>45900</v>
      </c>
      <c r="E206" s="128">
        <v>3400</v>
      </c>
      <c r="F206" s="2" t="s">
        <v>0</v>
      </c>
      <c r="G206" s="2"/>
      <c r="H206" s="2"/>
      <c r="I206" s="2"/>
      <c r="J206" s="121">
        <f t="shared" si="28"/>
        <v>3400</v>
      </c>
    </row>
    <row r="207" spans="2:10" x14ac:dyDescent="0.2">
      <c r="B207" s="22">
        <v>102550</v>
      </c>
      <c r="C207" s="2"/>
      <c r="D207" s="79">
        <v>45908</v>
      </c>
      <c r="E207" s="128">
        <f>-25000/((115250+25000)/3400)</f>
        <v>-606.06060606060601</v>
      </c>
      <c r="F207" s="12" t="s">
        <v>108</v>
      </c>
      <c r="G207" s="2"/>
      <c r="H207" s="2"/>
      <c r="I207" s="2"/>
      <c r="J207" s="121">
        <f t="shared" si="28"/>
        <v>2793.939393939394</v>
      </c>
    </row>
    <row r="208" spans="2:10" ht="17" thickBot="1" x14ac:dyDescent="0.25">
      <c r="B208" s="65">
        <v>102560</v>
      </c>
      <c r="C208" s="10"/>
      <c r="D208" s="82">
        <v>45908</v>
      </c>
      <c r="E208" s="214">
        <f>-115250/((115250+25000)/3400)</f>
        <v>-2793.939393939394</v>
      </c>
      <c r="F208" s="10" t="s">
        <v>3</v>
      </c>
      <c r="G208" s="10"/>
      <c r="H208" s="10"/>
      <c r="I208" s="10"/>
      <c r="J208" s="214">
        <f t="shared" si="28"/>
        <v>0</v>
      </c>
    </row>
    <row r="209" spans="2:10" ht="17" thickTop="1" x14ac:dyDescent="0.2">
      <c r="B209" s="22">
        <v>102570</v>
      </c>
      <c r="C209" s="2"/>
      <c r="D209" s="79">
        <v>45930</v>
      </c>
      <c r="E209" s="128">
        <v>3400</v>
      </c>
      <c r="F209" s="2" t="s">
        <v>0</v>
      </c>
      <c r="G209" s="15" t="s">
        <v>424</v>
      </c>
      <c r="H209" s="2"/>
      <c r="I209" s="2"/>
      <c r="J209" s="121">
        <f t="shared" si="28"/>
        <v>3400</v>
      </c>
    </row>
    <row r="210" spans="2:10" x14ac:dyDescent="0.2">
      <c r="B210" s="22">
        <v>102580</v>
      </c>
      <c r="C210" s="2"/>
      <c r="D210" s="79">
        <v>45940</v>
      </c>
      <c r="E210" s="128">
        <f>-25000/((117300+25000)/3400)</f>
        <v>-597.32958538299374</v>
      </c>
      <c r="F210" s="12" t="s">
        <v>108</v>
      </c>
      <c r="G210" s="2"/>
      <c r="H210" s="2"/>
      <c r="I210" s="2"/>
      <c r="J210" s="121">
        <f t="shared" si="28"/>
        <v>2802.6704146170064</v>
      </c>
    </row>
    <row r="211" spans="2:10" x14ac:dyDescent="0.2">
      <c r="B211" s="187">
        <v>102590</v>
      </c>
      <c r="C211" s="191"/>
      <c r="D211" s="189">
        <v>45940</v>
      </c>
      <c r="E211" s="190">
        <f>-117300/((117300+25000)/3400)</f>
        <v>-2802.6704146170064</v>
      </c>
      <c r="F211" s="191" t="s">
        <v>3</v>
      </c>
      <c r="G211" s="191"/>
      <c r="H211" s="191"/>
      <c r="I211" s="191"/>
      <c r="J211" s="190">
        <f t="shared" si="28"/>
        <v>0</v>
      </c>
    </row>
    <row r="212" spans="2:10" x14ac:dyDescent="0.2">
      <c r="B212" s="12">
        <v>102600</v>
      </c>
      <c r="C212" s="12"/>
      <c r="D212" s="87">
        <v>45961</v>
      </c>
      <c r="E212" s="121">
        <v>3740</v>
      </c>
      <c r="F212" s="48" t="s">
        <v>0</v>
      </c>
      <c r="G212" s="12"/>
      <c r="H212" s="12"/>
      <c r="I212" s="12"/>
      <c r="J212" s="121">
        <f t="shared" si="28"/>
        <v>3740</v>
      </c>
    </row>
    <row r="213" spans="2:10" x14ac:dyDescent="0.2">
      <c r="B213" s="12">
        <v>102610</v>
      </c>
      <c r="C213" s="12"/>
      <c r="D213" s="87">
        <v>45974</v>
      </c>
      <c r="E213" s="121">
        <f>-123600/(158200/3740)</f>
        <v>-2922.0227560050571</v>
      </c>
      <c r="F213" s="12" t="s">
        <v>3</v>
      </c>
      <c r="G213" s="12"/>
      <c r="H213" s="12"/>
      <c r="I213" s="12"/>
      <c r="J213" s="121">
        <f>E213+J212</f>
        <v>817.97724399494291</v>
      </c>
    </row>
    <row r="214" spans="2:10" x14ac:dyDescent="0.2">
      <c r="B214" s="12">
        <v>102620</v>
      </c>
      <c r="C214" s="12"/>
      <c r="D214" s="87">
        <v>45974</v>
      </c>
      <c r="E214" s="121">
        <f>-4600/(158200/3740)</f>
        <v>-108.74841972187106</v>
      </c>
      <c r="F214" s="12" t="s">
        <v>425</v>
      </c>
      <c r="G214" s="12" t="s">
        <v>427</v>
      </c>
      <c r="H214" s="12"/>
      <c r="I214" s="12"/>
      <c r="J214" s="121">
        <f>E214+J213</f>
        <v>709.22882427307184</v>
      </c>
    </row>
    <row r="215" spans="2:10" x14ac:dyDescent="0.2">
      <c r="B215" s="191">
        <v>102630</v>
      </c>
      <c r="C215" s="191"/>
      <c r="D215" s="189"/>
      <c r="E215" s="190">
        <f>-30000/(158200/3740)</f>
        <v>-709.22882427307206</v>
      </c>
      <c r="F215" s="191" t="s">
        <v>108</v>
      </c>
      <c r="G215" s="191"/>
      <c r="H215" s="191"/>
      <c r="I215" s="191"/>
      <c r="J215" s="190">
        <f t="shared" si="28"/>
        <v>0</v>
      </c>
    </row>
    <row r="216" spans="2:10" x14ac:dyDescent="0.2">
      <c r="B216" s="2">
        <v>102640</v>
      </c>
      <c r="C216" s="2"/>
      <c r="D216" s="79">
        <v>45991</v>
      </c>
      <c r="E216" s="121">
        <v>3740</v>
      </c>
      <c r="F216" s="62" t="s">
        <v>0</v>
      </c>
      <c r="G216" s="2"/>
      <c r="H216" s="2"/>
      <c r="I216" s="2"/>
      <c r="J216" s="121">
        <f t="shared" si="28"/>
        <v>3740</v>
      </c>
    </row>
    <row r="217" spans="2:10" x14ac:dyDescent="0.2">
      <c r="B217" s="2">
        <v>102650</v>
      </c>
      <c r="C217" s="2"/>
      <c r="D217" s="79">
        <v>46006</v>
      </c>
      <c r="E217" s="128">
        <f>-130000/(160000/3740)</f>
        <v>-3038.75</v>
      </c>
      <c r="F217" s="12" t="s">
        <v>3</v>
      </c>
      <c r="G217" s="2"/>
      <c r="H217" s="2"/>
      <c r="I217" s="2"/>
      <c r="J217" s="121">
        <f t="shared" si="28"/>
        <v>701.25</v>
      </c>
    </row>
    <row r="218" spans="2:10" x14ac:dyDescent="0.2">
      <c r="B218" s="191">
        <v>102660</v>
      </c>
      <c r="C218" s="191"/>
      <c r="D218" s="189">
        <v>46006</v>
      </c>
      <c r="E218" s="190">
        <f>-30000/(160000/3740)</f>
        <v>-701.25</v>
      </c>
      <c r="F218" s="191" t="s">
        <v>108</v>
      </c>
      <c r="G218" s="191"/>
      <c r="H218" s="191"/>
      <c r="I218" s="191"/>
      <c r="J218" s="190">
        <f t="shared" si="28"/>
        <v>0</v>
      </c>
    </row>
    <row r="219" spans="2:10" x14ac:dyDescent="0.2">
      <c r="B219" s="2">
        <v>102670</v>
      </c>
      <c r="C219" s="2"/>
      <c r="D219" s="79">
        <v>46022</v>
      </c>
      <c r="E219" s="128">
        <v>3740</v>
      </c>
      <c r="F219" s="62" t="s">
        <v>0</v>
      </c>
      <c r="G219" s="2"/>
      <c r="H219" s="2"/>
      <c r="I219" s="2"/>
      <c r="J219" s="121">
        <f t="shared" si="28"/>
        <v>3740</v>
      </c>
    </row>
    <row r="220" spans="2:10" x14ac:dyDescent="0.2">
      <c r="B220" s="2">
        <v>102680</v>
      </c>
      <c r="C220" s="2"/>
      <c r="D220" s="79">
        <v>46035</v>
      </c>
      <c r="E220" s="128">
        <v>-3046</v>
      </c>
      <c r="F220" s="12" t="s">
        <v>3</v>
      </c>
      <c r="G220" s="2"/>
      <c r="H220" s="2"/>
      <c r="I220" s="2"/>
      <c r="J220" s="121">
        <f t="shared" si="28"/>
        <v>694</v>
      </c>
    </row>
    <row r="221" spans="2:10" x14ac:dyDescent="0.2">
      <c r="B221" s="191">
        <v>102690</v>
      </c>
      <c r="C221" s="191"/>
      <c r="D221" s="189">
        <v>46035</v>
      </c>
      <c r="E221" s="190">
        <v>-694</v>
      </c>
      <c r="F221" s="191" t="s">
        <v>108</v>
      </c>
      <c r="G221" s="191"/>
      <c r="H221" s="191"/>
      <c r="I221" s="191"/>
      <c r="J221" s="190">
        <f t="shared" si="28"/>
        <v>0</v>
      </c>
    </row>
    <row r="222" spans="2:10" x14ac:dyDescent="0.2">
      <c r="B222" s="2">
        <v>102700</v>
      </c>
      <c r="C222" s="2"/>
      <c r="D222" s="79">
        <v>46053</v>
      </c>
      <c r="E222" s="128">
        <v>3740</v>
      </c>
      <c r="F222" s="2"/>
      <c r="G222" s="2"/>
      <c r="H222" s="2"/>
      <c r="I222" s="2"/>
      <c r="J222" s="190">
        <f t="shared" si="28"/>
        <v>3740</v>
      </c>
    </row>
    <row r="223" spans="2:10" x14ac:dyDescent="0.2">
      <c r="B223" s="2">
        <v>102710</v>
      </c>
      <c r="C223" s="2"/>
      <c r="D223" s="79">
        <v>46062</v>
      </c>
      <c r="E223" s="128">
        <f>-133600/(163600/3740)</f>
        <v>-3054.1809290953547</v>
      </c>
      <c r="F223" s="12" t="s">
        <v>3</v>
      </c>
      <c r="G223" s="2"/>
      <c r="H223" s="2"/>
      <c r="I223" s="2"/>
      <c r="J223" s="190">
        <f t="shared" si="28"/>
        <v>685.81907090464529</v>
      </c>
    </row>
    <row r="224" spans="2:10" x14ac:dyDescent="0.2">
      <c r="B224" s="191">
        <v>102720</v>
      </c>
      <c r="C224" s="191"/>
      <c r="D224" s="189">
        <v>46062</v>
      </c>
      <c r="E224" s="190">
        <f>-30000/(163600/3740)</f>
        <v>-685.81907090464551</v>
      </c>
      <c r="F224" s="191" t="s">
        <v>108</v>
      </c>
      <c r="G224" s="191"/>
      <c r="H224" s="191"/>
      <c r="I224" s="191"/>
      <c r="J224" s="190">
        <f t="shared" si="28"/>
        <v>0</v>
      </c>
    </row>
    <row r="225" spans="2:10" x14ac:dyDescent="0.2">
      <c r="B225" s="2">
        <v>102730</v>
      </c>
      <c r="C225" s="2"/>
      <c r="D225" s="79">
        <v>46081</v>
      </c>
      <c r="E225" s="128">
        <v>3740</v>
      </c>
      <c r="F225" s="2"/>
      <c r="G225" s="2"/>
      <c r="H225" s="2"/>
      <c r="I225" s="2"/>
      <c r="J225" s="190">
        <f t="shared" si="28"/>
        <v>3740</v>
      </c>
    </row>
    <row r="226" spans="2:10" x14ac:dyDescent="0.2">
      <c r="B226" s="2">
        <v>102740</v>
      </c>
      <c r="C226" s="2"/>
      <c r="D226" s="79">
        <v>46093</v>
      </c>
      <c r="E226" s="128">
        <f>-(2000+(46800/((46800+30000)/(3740-2000))))</f>
        <v>-3060.3125</v>
      </c>
      <c r="F226" s="12" t="s">
        <v>3</v>
      </c>
      <c r="G226" s="2"/>
      <c r="H226" s="2"/>
      <c r="I226" s="2"/>
      <c r="J226" s="190">
        <f t="shared" ref="J226" si="29">E226+J225</f>
        <v>679.6875</v>
      </c>
    </row>
    <row r="227" spans="2:10" x14ac:dyDescent="0.2">
      <c r="B227" s="191">
        <v>102750</v>
      </c>
      <c r="C227" s="191"/>
      <c r="D227" s="189">
        <v>46093</v>
      </c>
      <c r="E227" s="190">
        <f>-(30000/((46800+30000)/(3740-2000)))</f>
        <v>-679.6875</v>
      </c>
      <c r="F227" s="191" t="s">
        <v>108</v>
      </c>
      <c r="G227" s="191"/>
      <c r="H227" s="191"/>
      <c r="I227" s="191"/>
      <c r="J227" s="190">
        <f t="shared" si="28"/>
        <v>0</v>
      </c>
    </row>
    <row r="228" spans="2:10" x14ac:dyDescent="0.2">
      <c r="B228">
        <v>102760</v>
      </c>
      <c r="C228" s="16"/>
      <c r="D228" s="403">
        <v>46112</v>
      </c>
      <c r="E228" s="401">
        <v>3740</v>
      </c>
      <c r="F228" s="404"/>
      <c r="G228" s="16"/>
      <c r="H228" s="16"/>
      <c r="I228" s="404"/>
      <c r="J228" s="413">
        <f t="shared" si="28"/>
        <v>3740</v>
      </c>
    </row>
    <row r="229" spans="2:10" x14ac:dyDescent="0.2">
      <c r="B229">
        <v>102770</v>
      </c>
      <c r="C229" s="16"/>
      <c r="D229" s="403"/>
      <c r="E229" s="401"/>
      <c r="F229" s="404"/>
      <c r="G229" s="16"/>
      <c r="H229" s="16"/>
      <c r="I229" s="404"/>
      <c r="J229" s="413">
        <f t="shared" si="28"/>
        <v>3740</v>
      </c>
    </row>
    <row r="230" spans="2:10" x14ac:dyDescent="0.2">
      <c r="B230" s="406">
        <v>102780</v>
      </c>
      <c r="C230" s="217"/>
      <c r="D230" s="407"/>
      <c r="E230" s="402"/>
      <c r="F230" s="405"/>
      <c r="G230" s="217"/>
      <c r="H230" s="217"/>
      <c r="I230" s="405"/>
      <c r="J230" s="413">
        <f t="shared" si="28"/>
        <v>3740</v>
      </c>
    </row>
    <row r="231" spans="2:10" x14ac:dyDescent="0.2">
      <c r="B231">
        <v>102790</v>
      </c>
      <c r="C231" s="16"/>
      <c r="D231" s="403">
        <v>46142</v>
      </c>
      <c r="E231" s="401">
        <v>3740</v>
      </c>
      <c r="F231" s="404"/>
      <c r="G231" s="16"/>
      <c r="H231" s="16"/>
      <c r="I231" s="404"/>
      <c r="J231" s="413">
        <f t="shared" si="28"/>
        <v>7480</v>
      </c>
    </row>
    <row r="232" spans="2:10" x14ac:dyDescent="0.2">
      <c r="B232">
        <v>102800</v>
      </c>
      <c r="C232" s="16"/>
      <c r="D232" s="403"/>
      <c r="E232" s="401"/>
      <c r="F232" s="404"/>
      <c r="G232" s="16"/>
      <c r="H232" s="16"/>
      <c r="I232" s="404"/>
      <c r="J232" s="413">
        <f t="shared" si="28"/>
        <v>7480</v>
      </c>
    </row>
    <row r="233" spans="2:10" x14ac:dyDescent="0.2">
      <c r="B233" s="406">
        <v>102810</v>
      </c>
      <c r="C233" s="217"/>
      <c r="D233" s="407"/>
      <c r="E233" s="402"/>
      <c r="F233" s="405"/>
      <c r="G233" s="217"/>
      <c r="H233" s="217"/>
      <c r="I233" s="405"/>
      <c r="J233" s="413">
        <f t="shared" si="28"/>
        <v>7480</v>
      </c>
    </row>
    <row r="234" spans="2:10" x14ac:dyDescent="0.2">
      <c r="B234">
        <v>102820</v>
      </c>
      <c r="C234" s="16"/>
      <c r="D234" s="403">
        <v>46173</v>
      </c>
      <c r="E234" s="401">
        <v>3740</v>
      </c>
      <c r="F234" s="404"/>
      <c r="G234" s="16"/>
      <c r="H234" s="16"/>
      <c r="I234" s="404"/>
      <c r="J234" s="413">
        <f t="shared" si="28"/>
        <v>11220</v>
      </c>
    </row>
    <row r="235" spans="2:10" x14ac:dyDescent="0.2">
      <c r="B235">
        <v>102830</v>
      </c>
      <c r="C235" s="16"/>
      <c r="D235" s="403"/>
      <c r="E235" s="401"/>
      <c r="F235" s="404"/>
      <c r="G235" s="16"/>
      <c r="H235" s="16"/>
      <c r="I235" s="404"/>
      <c r="J235" s="413">
        <f t="shared" si="28"/>
        <v>11220</v>
      </c>
    </row>
    <row r="236" spans="2:10" x14ac:dyDescent="0.2">
      <c r="B236" s="406">
        <v>102840</v>
      </c>
      <c r="C236" s="217"/>
      <c r="D236" s="407"/>
      <c r="E236" s="402"/>
      <c r="F236" s="405"/>
      <c r="G236" s="217"/>
      <c r="H236" s="217"/>
      <c r="I236" s="405"/>
      <c r="J236" s="413">
        <f t="shared" si="28"/>
        <v>11220</v>
      </c>
    </row>
    <row r="237" spans="2:10" x14ac:dyDescent="0.2">
      <c r="B237">
        <v>102850</v>
      </c>
      <c r="C237" s="16"/>
      <c r="D237" s="403">
        <v>46203</v>
      </c>
      <c r="E237" s="401">
        <v>3740</v>
      </c>
      <c r="F237" s="404"/>
      <c r="G237" s="16"/>
      <c r="H237" s="16"/>
      <c r="I237" s="404"/>
      <c r="J237" s="413">
        <f t="shared" si="28"/>
        <v>14960</v>
      </c>
    </row>
    <row r="238" spans="2:10" x14ac:dyDescent="0.2">
      <c r="B238">
        <v>102860</v>
      </c>
      <c r="C238" s="16"/>
      <c r="D238" s="403"/>
      <c r="E238" s="401"/>
      <c r="F238" s="404"/>
      <c r="G238" s="16"/>
      <c r="H238" s="16"/>
      <c r="I238" s="404"/>
      <c r="J238" s="413">
        <f t="shared" si="28"/>
        <v>14960</v>
      </c>
    </row>
    <row r="239" spans="2:10" x14ac:dyDescent="0.2">
      <c r="B239" s="406">
        <v>102870</v>
      </c>
      <c r="C239" s="217"/>
      <c r="D239" s="407"/>
      <c r="E239" s="402"/>
      <c r="F239" s="405"/>
      <c r="G239" s="217"/>
      <c r="H239" s="217"/>
      <c r="I239" s="405"/>
      <c r="J239" s="413">
        <f t="shared" si="28"/>
        <v>14960</v>
      </c>
    </row>
    <row r="240" spans="2:10" x14ac:dyDescent="0.2">
      <c r="B240">
        <v>102880</v>
      </c>
      <c r="C240" s="16"/>
      <c r="D240" s="403">
        <v>46234</v>
      </c>
      <c r="E240" s="401">
        <v>3740</v>
      </c>
      <c r="F240" s="404"/>
      <c r="G240" s="16"/>
      <c r="H240" s="16"/>
      <c r="I240" s="404"/>
      <c r="J240" s="413">
        <f t="shared" si="28"/>
        <v>18700</v>
      </c>
    </row>
    <row r="241" spans="2:10" x14ac:dyDescent="0.2">
      <c r="B241">
        <v>102890</v>
      </c>
      <c r="C241" s="16"/>
      <c r="D241" s="403"/>
      <c r="E241" s="401"/>
      <c r="F241" s="404"/>
      <c r="G241" s="16"/>
      <c r="H241" s="16"/>
      <c r="I241" s="404"/>
      <c r="J241" s="413">
        <f t="shared" si="28"/>
        <v>18700</v>
      </c>
    </row>
    <row r="242" spans="2:10" x14ac:dyDescent="0.2">
      <c r="B242" s="406">
        <v>102900</v>
      </c>
      <c r="C242" s="217"/>
      <c r="D242" s="407"/>
      <c r="E242" s="402"/>
      <c r="F242" s="405"/>
      <c r="G242" s="217"/>
      <c r="H242" s="217"/>
      <c r="I242" s="405"/>
      <c r="J242" s="413">
        <f t="shared" si="28"/>
        <v>18700</v>
      </c>
    </row>
    <row r="243" spans="2:10" x14ac:dyDescent="0.2">
      <c r="B243">
        <v>102910</v>
      </c>
      <c r="C243" s="16"/>
      <c r="D243" s="403">
        <v>46265</v>
      </c>
      <c r="E243" s="401">
        <v>3740</v>
      </c>
      <c r="F243" s="404"/>
      <c r="G243" s="16"/>
      <c r="H243" s="16"/>
      <c r="I243" s="404"/>
      <c r="J243" s="413">
        <f t="shared" si="28"/>
        <v>22440</v>
      </c>
    </row>
    <row r="244" spans="2:10" x14ac:dyDescent="0.2">
      <c r="B244">
        <v>102920</v>
      </c>
      <c r="C244" s="16"/>
      <c r="D244" s="403"/>
      <c r="E244" s="401"/>
      <c r="F244" s="404"/>
      <c r="G244" s="16"/>
      <c r="H244" s="16"/>
      <c r="I244" s="404"/>
      <c r="J244" s="413">
        <f t="shared" si="28"/>
        <v>22440</v>
      </c>
    </row>
    <row r="245" spans="2:10" ht="17" thickBot="1" x14ac:dyDescent="0.25">
      <c r="B245" s="406">
        <v>102930</v>
      </c>
      <c r="C245" s="409"/>
      <c r="D245" s="410"/>
      <c r="E245" s="411"/>
      <c r="F245" s="412"/>
      <c r="G245" s="409"/>
      <c r="H245" s="409"/>
      <c r="I245" s="412"/>
      <c r="J245" s="413">
        <f t="shared" si="28"/>
        <v>22440</v>
      </c>
    </row>
    <row r="246" spans="2:10" ht="17" thickTop="1" x14ac:dyDescent="0.2">
      <c r="C246" s="16"/>
      <c r="D246" s="403">
        <v>46295</v>
      </c>
      <c r="E246" s="401"/>
      <c r="F246" s="404"/>
      <c r="G246" s="16" t="s">
        <v>80</v>
      </c>
      <c r="H246" s="16"/>
      <c r="I246" s="404"/>
      <c r="J246" s="413">
        <f t="shared" si="28"/>
        <v>22440</v>
      </c>
    </row>
    <row r="247" spans="2:10" x14ac:dyDescent="0.2">
      <c r="C247" s="16"/>
      <c r="D247" s="403"/>
      <c r="E247" s="401"/>
      <c r="F247" s="404"/>
      <c r="G247" s="16"/>
      <c r="H247" s="16"/>
      <c r="I247" s="404"/>
      <c r="J247" s="413">
        <f t="shared" si="28"/>
        <v>22440</v>
      </c>
    </row>
    <row r="248" spans="2:10" x14ac:dyDescent="0.2">
      <c r="B248" s="406"/>
      <c r="C248" s="217"/>
      <c r="D248" s="407"/>
      <c r="E248" s="402"/>
      <c r="F248" s="405"/>
      <c r="G248" s="217"/>
      <c r="H248" s="217"/>
      <c r="I248" s="405"/>
      <c r="J248" s="413">
        <f t="shared" si="28"/>
        <v>22440</v>
      </c>
    </row>
    <row r="249" spans="2:10" x14ac:dyDescent="0.2">
      <c r="C249" s="16"/>
      <c r="D249" s="403">
        <v>46326</v>
      </c>
      <c r="E249" s="401"/>
      <c r="F249" s="404"/>
      <c r="G249" s="16"/>
      <c r="H249" s="16"/>
      <c r="I249" s="404"/>
      <c r="J249" s="413">
        <f t="shared" si="28"/>
        <v>22440</v>
      </c>
    </row>
    <row r="250" spans="2:10" x14ac:dyDescent="0.2">
      <c r="C250" s="16"/>
      <c r="D250" s="403"/>
      <c r="E250" s="401"/>
      <c r="F250" s="404"/>
      <c r="G250" s="16"/>
      <c r="H250" s="16"/>
      <c r="I250" s="404"/>
      <c r="J250" s="413">
        <f t="shared" si="28"/>
        <v>22440</v>
      </c>
    </row>
    <row r="251" spans="2:10" x14ac:dyDescent="0.2">
      <c r="B251" s="406"/>
      <c r="C251" s="217"/>
      <c r="D251" s="407"/>
      <c r="E251" s="402"/>
      <c r="F251" s="405"/>
      <c r="G251" s="217"/>
      <c r="H251" s="217"/>
      <c r="I251" s="405"/>
      <c r="J251" s="413">
        <f t="shared" si="28"/>
        <v>22440</v>
      </c>
    </row>
    <row r="252" spans="2:10" x14ac:dyDescent="0.2">
      <c r="C252" s="16"/>
      <c r="D252" s="403">
        <v>46356</v>
      </c>
      <c r="E252" s="401"/>
      <c r="F252" s="404"/>
      <c r="G252" s="16"/>
      <c r="H252" s="16"/>
      <c r="I252" s="404"/>
      <c r="J252" s="413">
        <f t="shared" si="28"/>
        <v>22440</v>
      </c>
    </row>
    <row r="253" spans="2:10" x14ac:dyDescent="0.2">
      <c r="C253" s="16"/>
      <c r="D253" s="403"/>
      <c r="E253" s="401"/>
      <c r="F253" s="404"/>
      <c r="G253" s="16"/>
      <c r="H253" s="16"/>
      <c r="I253" s="404"/>
      <c r="J253" s="413">
        <f t="shared" si="28"/>
        <v>22440</v>
      </c>
    </row>
    <row r="254" spans="2:10" x14ac:dyDescent="0.2">
      <c r="B254" s="408"/>
      <c r="C254" s="217"/>
      <c r="D254" s="407"/>
      <c r="E254" s="218"/>
      <c r="F254" s="405"/>
      <c r="G254" s="217"/>
      <c r="H254" s="217"/>
      <c r="I254" s="405"/>
      <c r="J254" s="413">
        <f t="shared" si="28"/>
        <v>22440</v>
      </c>
    </row>
  </sheetData>
  <sortState xmlns:xlrd2="http://schemas.microsoft.com/office/spreadsheetml/2017/richdata2" ref="K133:Q138">
    <sortCondition descending="1" ref="K133:K138"/>
  </sortState>
  <mergeCells count="1">
    <mergeCell ref="T139:Y139"/>
  </mergeCells>
  <phoneticPr fontId="11" type="noConversion"/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C32E2-4C53-B94A-8A42-8A0525AAB6E1}">
  <sheetPr>
    <tabColor rgb="FF92D050"/>
  </sheetPr>
  <dimension ref="A1:J214"/>
  <sheetViews>
    <sheetView tabSelected="1" zoomScale="94" zoomScaleNormal="138" workbookViewId="0">
      <pane xSplit="1" ySplit="4" topLeftCell="B161" activePane="bottomRight" state="frozen"/>
      <selection activeCell="D131" sqref="D131"/>
      <selection pane="topRight" activeCell="D131" sqref="D131"/>
      <selection pane="bottomLeft" activeCell="D131" sqref="D131"/>
      <selection pane="bottomRight" activeCell="E190" sqref="E190"/>
    </sheetView>
  </sheetViews>
  <sheetFormatPr baseColWidth="10" defaultRowHeight="16" x14ac:dyDescent="0.2"/>
  <cols>
    <col min="2" max="2" width="10.6640625" bestFit="1" customWidth="1"/>
    <col min="3" max="3" width="11.83203125" bestFit="1" customWidth="1"/>
    <col min="4" max="4" width="15.1640625" style="85" bestFit="1" customWidth="1"/>
    <col min="5" max="5" width="28.5" bestFit="1" customWidth="1"/>
    <col min="6" max="6" width="28.5" customWidth="1"/>
    <col min="7" max="7" width="49.33203125" customWidth="1"/>
    <col min="8" max="8" width="17.1640625" bestFit="1" customWidth="1"/>
    <col min="9" max="9" width="21" bestFit="1" customWidth="1"/>
    <col min="10" max="10" width="25.1640625" bestFit="1" customWidth="1"/>
  </cols>
  <sheetData>
    <row r="1" spans="1:10" ht="21" thickBot="1" x14ac:dyDescent="0.3">
      <c r="A1" s="36" t="s">
        <v>18</v>
      </c>
      <c r="B1" s="590" t="s">
        <v>15</v>
      </c>
      <c r="C1" s="590"/>
    </row>
    <row r="2" spans="1:10" ht="17" thickTop="1" x14ac:dyDescent="0.2">
      <c r="B2" s="15"/>
      <c r="C2" s="215"/>
      <c r="D2" s="91" t="s">
        <v>14</v>
      </c>
      <c r="E2" s="15" t="s">
        <v>19</v>
      </c>
      <c r="F2" s="15"/>
      <c r="G2" s="15"/>
      <c r="H2" s="15"/>
      <c r="I2" s="15"/>
    </row>
    <row r="3" spans="1:10" x14ac:dyDescent="0.2">
      <c r="B3" s="1"/>
    </row>
    <row r="4" spans="1:10" x14ac:dyDescent="0.2">
      <c r="B4" s="14" t="s">
        <v>30</v>
      </c>
      <c r="C4" s="1" t="s">
        <v>6</v>
      </c>
      <c r="D4" s="84" t="s">
        <v>7</v>
      </c>
      <c r="E4" s="1" t="s">
        <v>8</v>
      </c>
      <c r="F4" s="1" t="s">
        <v>9</v>
      </c>
      <c r="G4" s="19" t="s">
        <v>25</v>
      </c>
      <c r="H4" s="19" t="s">
        <v>91</v>
      </c>
      <c r="I4" s="1" t="s">
        <v>18</v>
      </c>
      <c r="J4" s="1" t="s">
        <v>140</v>
      </c>
    </row>
    <row r="5" spans="1:10" hidden="1" x14ac:dyDescent="0.2">
      <c r="B5" s="22">
        <v>200010</v>
      </c>
      <c r="C5" s="8">
        <v>43831</v>
      </c>
      <c r="D5" s="79">
        <v>43840</v>
      </c>
      <c r="E5" s="3">
        <v>11000</v>
      </c>
      <c r="F5" s="2" t="s">
        <v>0</v>
      </c>
      <c r="G5" s="2"/>
      <c r="H5" s="2" t="s">
        <v>88</v>
      </c>
      <c r="I5" s="2" t="s">
        <v>15</v>
      </c>
      <c r="J5" s="3">
        <f>E5</f>
        <v>11000</v>
      </c>
    </row>
    <row r="6" spans="1:10" hidden="1" x14ac:dyDescent="0.2">
      <c r="B6" s="22">
        <v>200020</v>
      </c>
      <c r="C6" s="2"/>
      <c r="D6" s="79">
        <v>43850</v>
      </c>
      <c r="E6" s="3">
        <v>-11000</v>
      </c>
      <c r="F6" s="2" t="s">
        <v>5</v>
      </c>
      <c r="G6" s="2"/>
      <c r="H6" s="2" t="s">
        <v>89</v>
      </c>
      <c r="I6" s="2" t="s">
        <v>15</v>
      </c>
      <c r="J6" s="3">
        <f>E6+J5</f>
        <v>0</v>
      </c>
    </row>
    <row r="7" spans="1:10" hidden="1" x14ac:dyDescent="0.2">
      <c r="B7" s="22">
        <v>200030</v>
      </c>
      <c r="C7" s="8">
        <v>43862</v>
      </c>
      <c r="D7" s="79">
        <f>D5+31</f>
        <v>43871</v>
      </c>
      <c r="E7" s="3">
        <v>11000</v>
      </c>
      <c r="F7" s="2" t="s">
        <v>0</v>
      </c>
      <c r="G7" s="2"/>
      <c r="H7" s="2" t="s">
        <v>88</v>
      </c>
      <c r="I7" s="2" t="s">
        <v>15</v>
      </c>
      <c r="J7" s="3">
        <f t="shared" ref="J7:J66" si="0">E7+J6</f>
        <v>11000</v>
      </c>
    </row>
    <row r="8" spans="1:10" hidden="1" x14ac:dyDescent="0.2">
      <c r="B8" s="22">
        <v>200040</v>
      </c>
      <c r="C8" s="2"/>
      <c r="D8" s="79">
        <v>43882</v>
      </c>
      <c r="E8" s="3">
        <v>-11000</v>
      </c>
      <c r="F8" s="2" t="s">
        <v>5</v>
      </c>
      <c r="G8" s="2"/>
      <c r="H8" s="2" t="s">
        <v>89</v>
      </c>
      <c r="I8" s="2" t="s">
        <v>15</v>
      </c>
      <c r="J8" s="3">
        <f t="shared" si="0"/>
        <v>0</v>
      </c>
    </row>
    <row r="9" spans="1:10" hidden="1" x14ac:dyDescent="0.2">
      <c r="B9" s="22">
        <v>200050</v>
      </c>
      <c r="C9" s="8">
        <v>43891</v>
      </c>
      <c r="D9" s="79">
        <f>D7+29</f>
        <v>43900</v>
      </c>
      <c r="E9" s="3">
        <v>11000</v>
      </c>
      <c r="F9" s="2" t="s">
        <v>0</v>
      </c>
      <c r="G9" s="2"/>
      <c r="H9" s="2" t="s">
        <v>88</v>
      </c>
      <c r="I9" s="2" t="s">
        <v>15</v>
      </c>
      <c r="J9" s="3">
        <f t="shared" si="0"/>
        <v>11000</v>
      </c>
    </row>
    <row r="10" spans="1:10" hidden="1" x14ac:dyDescent="0.2">
      <c r="B10" s="22">
        <v>200060</v>
      </c>
      <c r="C10" s="2"/>
      <c r="D10" s="79">
        <v>43924</v>
      </c>
      <c r="E10" s="3">
        <v>-5000</v>
      </c>
      <c r="F10" s="2" t="s">
        <v>3</v>
      </c>
      <c r="G10" s="2"/>
      <c r="H10" s="2" t="s">
        <v>89</v>
      </c>
      <c r="I10" s="2" t="s">
        <v>15</v>
      </c>
      <c r="J10" s="3">
        <f t="shared" si="0"/>
        <v>6000</v>
      </c>
    </row>
    <row r="11" spans="1:10" hidden="1" x14ac:dyDescent="0.2">
      <c r="B11" s="22">
        <v>200070</v>
      </c>
      <c r="C11" s="8">
        <v>43922</v>
      </c>
      <c r="D11" s="79">
        <f>D9+31</f>
        <v>43931</v>
      </c>
      <c r="E11" s="3">
        <v>11000</v>
      </c>
      <c r="F11" s="2" t="s">
        <v>0</v>
      </c>
      <c r="G11" s="2"/>
      <c r="H11" s="2" t="s">
        <v>88</v>
      </c>
      <c r="I11" s="2" t="s">
        <v>15</v>
      </c>
      <c r="J11" s="3">
        <f t="shared" si="0"/>
        <v>17000</v>
      </c>
    </row>
    <row r="12" spans="1:10" hidden="1" x14ac:dyDescent="0.2">
      <c r="B12" s="22">
        <v>200080</v>
      </c>
      <c r="C12" s="2"/>
      <c r="D12" s="79">
        <v>43953</v>
      </c>
      <c r="E12" s="3">
        <v>-5000</v>
      </c>
      <c r="F12" s="2" t="s">
        <v>3</v>
      </c>
      <c r="G12" s="2"/>
      <c r="H12" s="2" t="s">
        <v>89</v>
      </c>
      <c r="I12" s="2" t="s">
        <v>15</v>
      </c>
      <c r="J12" s="3">
        <f t="shared" si="0"/>
        <v>12000</v>
      </c>
    </row>
    <row r="13" spans="1:10" hidden="1" x14ac:dyDescent="0.2">
      <c r="B13" s="22">
        <v>200090</v>
      </c>
      <c r="C13" s="8">
        <v>43952</v>
      </c>
      <c r="D13" s="79">
        <f>D11+30</f>
        <v>43961</v>
      </c>
      <c r="E13" s="3">
        <v>11000</v>
      </c>
      <c r="F13" s="2" t="s">
        <v>0</v>
      </c>
      <c r="G13" s="2"/>
      <c r="H13" s="2" t="s">
        <v>88</v>
      </c>
      <c r="I13" s="2" t="s">
        <v>15</v>
      </c>
      <c r="J13" s="3">
        <f t="shared" si="0"/>
        <v>23000</v>
      </c>
    </row>
    <row r="14" spans="1:10" hidden="1" x14ac:dyDescent="0.2">
      <c r="B14" s="22">
        <v>200100</v>
      </c>
      <c r="C14" s="8">
        <v>43983</v>
      </c>
      <c r="D14" s="79">
        <f>D13+31</f>
        <v>43992</v>
      </c>
      <c r="E14" s="3">
        <v>11000</v>
      </c>
      <c r="F14" s="2" t="s">
        <v>0</v>
      </c>
      <c r="G14" s="2"/>
      <c r="H14" s="2" t="s">
        <v>88</v>
      </c>
      <c r="I14" s="2" t="s">
        <v>15</v>
      </c>
      <c r="J14" s="3">
        <f>E14+J13</f>
        <v>34000</v>
      </c>
    </row>
    <row r="15" spans="1:10" hidden="1" x14ac:dyDescent="0.2">
      <c r="B15" s="22">
        <v>200110</v>
      </c>
      <c r="C15" s="2"/>
      <c r="D15" s="79">
        <v>43992</v>
      </c>
      <c r="E15" s="3">
        <v>-5000</v>
      </c>
      <c r="F15" s="2" t="s">
        <v>4</v>
      </c>
      <c r="G15" s="2"/>
      <c r="H15" s="2" t="s">
        <v>90</v>
      </c>
      <c r="I15" s="2" t="s">
        <v>15</v>
      </c>
      <c r="J15" s="3">
        <f t="shared" si="0"/>
        <v>29000</v>
      </c>
    </row>
    <row r="16" spans="1:10" hidden="1" x14ac:dyDescent="0.2">
      <c r="B16" s="22">
        <v>200120</v>
      </c>
      <c r="C16" s="2"/>
      <c r="D16" s="79">
        <v>44004</v>
      </c>
      <c r="E16" s="3">
        <v>-4000</v>
      </c>
      <c r="F16" s="2" t="s">
        <v>1</v>
      </c>
      <c r="G16" s="2"/>
      <c r="H16" s="2" t="s">
        <v>89</v>
      </c>
      <c r="I16" s="2" t="s">
        <v>15</v>
      </c>
      <c r="J16" s="3">
        <f t="shared" si="0"/>
        <v>25000</v>
      </c>
    </row>
    <row r="17" spans="2:10" hidden="1" x14ac:dyDescent="0.2">
      <c r="B17" s="22">
        <v>200130</v>
      </c>
      <c r="C17" s="2"/>
      <c r="D17" s="79">
        <v>44007</v>
      </c>
      <c r="E17" s="3">
        <v>-7000</v>
      </c>
      <c r="F17" s="2" t="s">
        <v>4</v>
      </c>
      <c r="G17" s="2"/>
      <c r="H17" s="2" t="s">
        <v>90</v>
      </c>
      <c r="I17" s="2" t="s">
        <v>15</v>
      </c>
      <c r="J17" s="3">
        <f t="shared" si="0"/>
        <v>18000</v>
      </c>
    </row>
    <row r="18" spans="2:10" hidden="1" x14ac:dyDescent="0.2">
      <c r="B18" s="22">
        <v>200140</v>
      </c>
      <c r="C18" s="8">
        <v>44013</v>
      </c>
      <c r="D18" s="79">
        <f>D14+30</f>
        <v>44022</v>
      </c>
      <c r="E18" s="3">
        <v>11000</v>
      </c>
      <c r="F18" s="2" t="s">
        <v>0</v>
      </c>
      <c r="G18" s="2"/>
      <c r="H18" s="2" t="s">
        <v>88</v>
      </c>
      <c r="I18" s="2" t="s">
        <v>15</v>
      </c>
      <c r="J18" s="3">
        <f t="shared" si="0"/>
        <v>29000</v>
      </c>
    </row>
    <row r="19" spans="2:10" hidden="1" x14ac:dyDescent="0.2">
      <c r="B19" s="22">
        <v>200150</v>
      </c>
      <c r="C19" s="2"/>
      <c r="D19" s="79">
        <v>44032</v>
      </c>
      <c r="E19" s="3">
        <v>-4000</v>
      </c>
      <c r="F19" s="2" t="s">
        <v>1</v>
      </c>
      <c r="G19" s="2"/>
      <c r="H19" s="2" t="s">
        <v>89</v>
      </c>
      <c r="I19" s="2" t="s">
        <v>15</v>
      </c>
      <c r="J19" s="3">
        <f t="shared" si="0"/>
        <v>25000</v>
      </c>
    </row>
    <row r="20" spans="2:10" hidden="1" x14ac:dyDescent="0.2">
      <c r="B20" s="22">
        <v>200160</v>
      </c>
      <c r="C20" s="2"/>
      <c r="D20" s="79">
        <v>44033</v>
      </c>
      <c r="E20" s="3">
        <v>-7000</v>
      </c>
      <c r="F20" s="2" t="s">
        <v>4</v>
      </c>
      <c r="G20" s="2"/>
      <c r="H20" s="2" t="s">
        <v>90</v>
      </c>
      <c r="I20" s="2" t="s">
        <v>15</v>
      </c>
      <c r="J20" s="3">
        <f t="shared" si="0"/>
        <v>18000</v>
      </c>
    </row>
    <row r="21" spans="2:10" hidden="1" x14ac:dyDescent="0.2">
      <c r="B21" s="22">
        <v>200170</v>
      </c>
      <c r="C21" s="8">
        <v>44044</v>
      </c>
      <c r="D21" s="79">
        <f>D18+31</f>
        <v>44053</v>
      </c>
      <c r="E21" s="3">
        <v>11000</v>
      </c>
      <c r="F21" s="2" t="s">
        <v>0</v>
      </c>
      <c r="G21" s="2"/>
      <c r="H21" s="2" t="s">
        <v>88</v>
      </c>
      <c r="I21" s="2" t="s">
        <v>15</v>
      </c>
      <c r="J21" s="3">
        <f t="shared" si="0"/>
        <v>29000</v>
      </c>
    </row>
    <row r="22" spans="2:10" hidden="1" x14ac:dyDescent="0.2">
      <c r="B22" s="22">
        <v>200180</v>
      </c>
      <c r="C22" s="2"/>
      <c r="D22" s="79">
        <v>44069</v>
      </c>
      <c r="E22" s="3">
        <v>-4000</v>
      </c>
      <c r="F22" s="2" t="s">
        <v>1</v>
      </c>
      <c r="G22" s="2"/>
      <c r="H22" s="2" t="s">
        <v>89</v>
      </c>
      <c r="I22" s="2" t="s">
        <v>15</v>
      </c>
      <c r="J22" s="3">
        <f t="shared" si="0"/>
        <v>25000</v>
      </c>
    </row>
    <row r="23" spans="2:10" hidden="1" x14ac:dyDescent="0.2">
      <c r="B23" s="22">
        <v>200190</v>
      </c>
      <c r="C23" s="2"/>
      <c r="D23" s="79">
        <v>44069</v>
      </c>
      <c r="E23" s="3">
        <v>-7000</v>
      </c>
      <c r="F23" s="2" t="s">
        <v>3</v>
      </c>
      <c r="G23" s="2"/>
      <c r="H23" s="2" t="s">
        <v>89</v>
      </c>
      <c r="I23" s="2" t="s">
        <v>15</v>
      </c>
      <c r="J23" s="3">
        <f t="shared" si="0"/>
        <v>18000</v>
      </c>
    </row>
    <row r="24" spans="2:10" hidden="1" x14ac:dyDescent="0.2">
      <c r="B24" s="22">
        <v>200200</v>
      </c>
      <c r="C24" s="8">
        <v>44075</v>
      </c>
      <c r="D24" s="79">
        <f>D21+31</f>
        <v>44084</v>
      </c>
      <c r="E24" s="3">
        <v>11000</v>
      </c>
      <c r="F24" s="2" t="s">
        <v>0</v>
      </c>
      <c r="G24" s="2"/>
      <c r="H24" s="2" t="s">
        <v>88</v>
      </c>
      <c r="I24" s="2" t="s">
        <v>15</v>
      </c>
      <c r="J24" s="3">
        <f t="shared" si="0"/>
        <v>29000</v>
      </c>
    </row>
    <row r="25" spans="2:10" hidden="1" x14ac:dyDescent="0.2">
      <c r="B25" s="22">
        <v>200210</v>
      </c>
      <c r="C25" s="2"/>
      <c r="D25" s="79">
        <v>44104</v>
      </c>
      <c r="E25" s="3">
        <v>-4000</v>
      </c>
      <c r="F25" s="2" t="s">
        <v>1</v>
      </c>
      <c r="G25" s="2"/>
      <c r="H25" s="48" t="s">
        <v>89</v>
      </c>
      <c r="I25" s="2" t="s">
        <v>15</v>
      </c>
      <c r="J25" s="3">
        <f t="shared" si="0"/>
        <v>25000</v>
      </c>
    </row>
    <row r="26" spans="2:10" hidden="1" x14ac:dyDescent="0.2">
      <c r="B26" s="22">
        <v>200220</v>
      </c>
      <c r="C26" s="2"/>
      <c r="D26" s="79">
        <v>44111</v>
      </c>
      <c r="E26" s="3">
        <v>-9000</v>
      </c>
      <c r="F26" s="2" t="s">
        <v>4</v>
      </c>
      <c r="G26" s="2"/>
      <c r="H26" s="2" t="s">
        <v>90</v>
      </c>
      <c r="I26" s="2" t="s">
        <v>15</v>
      </c>
      <c r="J26" s="3">
        <f t="shared" si="0"/>
        <v>16000</v>
      </c>
    </row>
    <row r="27" spans="2:10" hidden="1" x14ac:dyDescent="0.2">
      <c r="B27" s="22">
        <v>200230</v>
      </c>
      <c r="C27" s="8">
        <v>44105</v>
      </c>
      <c r="D27" s="79">
        <f>D24+30</f>
        <v>44114</v>
      </c>
      <c r="E27" s="3">
        <v>11000</v>
      </c>
      <c r="F27" s="2" t="s">
        <v>0</v>
      </c>
      <c r="G27" s="2"/>
      <c r="H27" s="2" t="s">
        <v>88</v>
      </c>
      <c r="I27" s="2" t="s">
        <v>15</v>
      </c>
      <c r="J27" s="3">
        <f t="shared" si="0"/>
        <v>27000</v>
      </c>
    </row>
    <row r="28" spans="2:10" hidden="1" x14ac:dyDescent="0.2">
      <c r="B28" s="22">
        <v>200240</v>
      </c>
      <c r="C28" s="2"/>
      <c r="D28" s="79">
        <v>44137</v>
      </c>
      <c r="E28" s="3">
        <v>-4000</v>
      </c>
      <c r="F28" s="2" t="s">
        <v>1</v>
      </c>
      <c r="G28" s="2"/>
      <c r="H28" s="48" t="s">
        <v>89</v>
      </c>
      <c r="I28" s="2" t="s">
        <v>15</v>
      </c>
      <c r="J28" s="3">
        <f t="shared" si="0"/>
        <v>23000</v>
      </c>
    </row>
    <row r="29" spans="2:10" hidden="1" x14ac:dyDescent="0.2">
      <c r="B29" s="22">
        <v>200250</v>
      </c>
      <c r="C29" s="2"/>
      <c r="D29" s="79">
        <v>44138</v>
      </c>
      <c r="E29" s="3">
        <v>-9000</v>
      </c>
      <c r="F29" s="2" t="s">
        <v>4</v>
      </c>
      <c r="G29" s="2"/>
      <c r="H29" s="2" t="s">
        <v>90</v>
      </c>
      <c r="I29" s="2" t="s">
        <v>15</v>
      </c>
      <c r="J29" s="3">
        <f t="shared" si="0"/>
        <v>14000</v>
      </c>
    </row>
    <row r="30" spans="2:10" hidden="1" x14ac:dyDescent="0.2">
      <c r="B30" s="22">
        <v>200260</v>
      </c>
      <c r="C30" s="8">
        <v>44136</v>
      </c>
      <c r="D30" s="79">
        <f>D27+31</f>
        <v>44145</v>
      </c>
      <c r="E30" s="3">
        <v>11000</v>
      </c>
      <c r="F30" s="2" t="s">
        <v>0</v>
      </c>
      <c r="G30" s="2"/>
      <c r="H30" s="2" t="s">
        <v>88</v>
      </c>
      <c r="I30" s="2" t="s">
        <v>15</v>
      </c>
      <c r="J30" s="3">
        <f t="shared" si="0"/>
        <v>25000</v>
      </c>
    </row>
    <row r="31" spans="2:10" hidden="1" x14ac:dyDescent="0.2">
      <c r="B31" s="22">
        <v>200270</v>
      </c>
      <c r="C31" s="2"/>
      <c r="D31" s="79">
        <v>44169</v>
      </c>
      <c r="E31" s="3">
        <v>-4000</v>
      </c>
      <c r="F31" s="2" t="s">
        <v>2</v>
      </c>
      <c r="G31" s="2"/>
      <c r="H31" s="2" t="s">
        <v>90</v>
      </c>
      <c r="I31" s="2" t="s">
        <v>15</v>
      </c>
      <c r="J31" s="3">
        <f t="shared" si="0"/>
        <v>21000</v>
      </c>
    </row>
    <row r="32" spans="2:10" hidden="1" x14ac:dyDescent="0.2">
      <c r="B32" s="22">
        <v>200280</v>
      </c>
      <c r="C32" s="2"/>
      <c r="D32" s="79">
        <v>44173</v>
      </c>
      <c r="E32" s="3">
        <v>-9000</v>
      </c>
      <c r="F32" s="2" t="s">
        <v>3</v>
      </c>
      <c r="G32" s="2"/>
      <c r="H32" s="48" t="s">
        <v>89</v>
      </c>
      <c r="I32" s="2" t="s">
        <v>15</v>
      </c>
      <c r="J32" s="3">
        <f t="shared" si="0"/>
        <v>12000</v>
      </c>
    </row>
    <row r="33" spans="2:10" hidden="1" x14ac:dyDescent="0.2">
      <c r="B33" s="22">
        <v>200290</v>
      </c>
      <c r="C33" s="8">
        <v>44166</v>
      </c>
      <c r="D33" s="79">
        <f>D30+30</f>
        <v>44175</v>
      </c>
      <c r="E33" s="3">
        <v>11000</v>
      </c>
      <c r="F33" s="2" t="s">
        <v>0</v>
      </c>
      <c r="G33" s="2"/>
      <c r="H33" s="2" t="s">
        <v>88</v>
      </c>
      <c r="I33" s="2" t="s">
        <v>15</v>
      </c>
      <c r="J33" s="3">
        <f t="shared" si="0"/>
        <v>23000</v>
      </c>
    </row>
    <row r="34" spans="2:10" hidden="1" x14ac:dyDescent="0.2">
      <c r="B34" s="22">
        <v>200300</v>
      </c>
      <c r="C34" s="2"/>
      <c r="D34" s="79">
        <v>44196</v>
      </c>
      <c r="E34" s="3">
        <v>-4000</v>
      </c>
      <c r="F34" s="2" t="s">
        <v>2</v>
      </c>
      <c r="G34" s="2"/>
      <c r="H34" s="2" t="s">
        <v>90</v>
      </c>
      <c r="I34" s="2" t="s">
        <v>15</v>
      </c>
      <c r="J34" s="3">
        <f t="shared" si="0"/>
        <v>19000</v>
      </c>
    </row>
    <row r="35" spans="2:10" hidden="1" x14ac:dyDescent="0.2">
      <c r="B35" s="22">
        <v>200310</v>
      </c>
      <c r="C35" s="2"/>
      <c r="D35" s="79">
        <v>44202</v>
      </c>
      <c r="E35" s="3">
        <v>-6000</v>
      </c>
      <c r="F35" s="2" t="s">
        <v>3</v>
      </c>
      <c r="G35" s="2"/>
      <c r="H35" s="48" t="s">
        <v>89</v>
      </c>
      <c r="I35" s="2" t="s">
        <v>15</v>
      </c>
      <c r="J35" s="3">
        <f t="shared" si="0"/>
        <v>13000</v>
      </c>
    </row>
    <row r="36" spans="2:10" hidden="1" x14ac:dyDescent="0.2">
      <c r="B36" s="22">
        <v>200320</v>
      </c>
      <c r="C36" s="8">
        <v>44197</v>
      </c>
      <c r="D36" s="79">
        <f>D33+31</f>
        <v>44206</v>
      </c>
      <c r="E36" s="3">
        <v>11000</v>
      </c>
      <c r="F36" s="2" t="s">
        <v>0</v>
      </c>
      <c r="G36" s="2"/>
      <c r="H36" s="2" t="s">
        <v>88</v>
      </c>
      <c r="I36" s="2" t="s">
        <v>15</v>
      </c>
      <c r="J36" s="3">
        <f t="shared" si="0"/>
        <v>24000</v>
      </c>
    </row>
    <row r="37" spans="2:10" hidden="1" x14ac:dyDescent="0.2">
      <c r="B37" s="22">
        <v>200330</v>
      </c>
      <c r="C37" s="2"/>
      <c r="D37" s="79">
        <v>44225</v>
      </c>
      <c r="E37" s="3">
        <v>-4000</v>
      </c>
      <c r="F37" s="2" t="s">
        <v>2</v>
      </c>
      <c r="G37" s="2"/>
      <c r="H37" s="2" t="s">
        <v>90</v>
      </c>
      <c r="I37" s="2" t="s">
        <v>15</v>
      </c>
      <c r="J37" s="3">
        <f t="shared" si="0"/>
        <v>20000</v>
      </c>
    </row>
    <row r="38" spans="2:10" hidden="1" x14ac:dyDescent="0.2">
      <c r="B38" s="22">
        <v>200340</v>
      </c>
      <c r="C38" s="8">
        <v>44228</v>
      </c>
      <c r="D38" s="79">
        <f>D36+31</f>
        <v>44237</v>
      </c>
      <c r="E38" s="3">
        <v>11000</v>
      </c>
      <c r="F38" s="2" t="s">
        <v>0</v>
      </c>
      <c r="G38" s="2"/>
      <c r="H38" s="2" t="s">
        <v>88</v>
      </c>
      <c r="I38" s="2" t="s">
        <v>15</v>
      </c>
      <c r="J38" s="3">
        <f t="shared" si="0"/>
        <v>31000</v>
      </c>
    </row>
    <row r="39" spans="2:10" hidden="1" x14ac:dyDescent="0.2">
      <c r="B39" s="22">
        <v>200350</v>
      </c>
      <c r="C39" s="2"/>
      <c r="D39" s="79">
        <v>44253</v>
      </c>
      <c r="E39" s="3">
        <v>-4000</v>
      </c>
      <c r="F39" s="2" t="s">
        <v>2</v>
      </c>
      <c r="G39" s="2"/>
      <c r="H39" s="2" t="s">
        <v>90</v>
      </c>
      <c r="I39" s="2" t="s">
        <v>15</v>
      </c>
      <c r="J39" s="3">
        <f t="shared" si="0"/>
        <v>27000</v>
      </c>
    </row>
    <row r="40" spans="2:10" hidden="1" x14ac:dyDescent="0.2">
      <c r="B40" s="22">
        <v>200360</v>
      </c>
      <c r="C40" s="8">
        <v>44256</v>
      </c>
      <c r="D40" s="79">
        <f>D38+28</f>
        <v>44265</v>
      </c>
      <c r="E40" s="3">
        <v>11000</v>
      </c>
      <c r="F40" s="2" t="s">
        <v>0</v>
      </c>
      <c r="G40" s="2"/>
      <c r="H40" s="2" t="s">
        <v>88</v>
      </c>
      <c r="I40" s="2" t="s">
        <v>15</v>
      </c>
      <c r="J40" s="3">
        <f t="shared" si="0"/>
        <v>38000</v>
      </c>
    </row>
    <row r="41" spans="2:10" hidden="1" x14ac:dyDescent="0.2">
      <c r="B41" s="22">
        <v>200370</v>
      </c>
      <c r="C41" s="2"/>
      <c r="D41" s="79">
        <v>44286</v>
      </c>
      <c r="E41" s="3">
        <v>-4000</v>
      </c>
      <c r="F41" s="2" t="s">
        <v>2</v>
      </c>
      <c r="G41" s="2"/>
      <c r="H41" s="2" t="s">
        <v>90</v>
      </c>
      <c r="I41" s="2" t="s">
        <v>15</v>
      </c>
      <c r="J41" s="3">
        <f t="shared" si="0"/>
        <v>34000</v>
      </c>
    </row>
    <row r="42" spans="2:10" hidden="1" x14ac:dyDescent="0.2">
      <c r="B42" s="22">
        <v>200380</v>
      </c>
      <c r="C42" s="8">
        <v>44287</v>
      </c>
      <c r="D42" s="79">
        <f>D40+31</f>
        <v>44296</v>
      </c>
      <c r="E42" s="3">
        <v>11000</v>
      </c>
      <c r="F42" s="2" t="s">
        <v>0</v>
      </c>
      <c r="G42" s="2"/>
      <c r="H42" s="2" t="s">
        <v>88</v>
      </c>
      <c r="I42" s="2" t="s">
        <v>15</v>
      </c>
      <c r="J42" s="3">
        <f t="shared" si="0"/>
        <v>45000</v>
      </c>
    </row>
    <row r="43" spans="2:10" hidden="1" x14ac:dyDescent="0.2">
      <c r="B43" s="22">
        <v>200390</v>
      </c>
      <c r="C43" s="2"/>
      <c r="D43" s="79">
        <v>44301</v>
      </c>
      <c r="E43" s="3">
        <v>-14000</v>
      </c>
      <c r="F43" s="2" t="s">
        <v>3</v>
      </c>
      <c r="G43" s="2"/>
      <c r="H43" s="48" t="s">
        <v>89</v>
      </c>
      <c r="I43" s="2" t="s">
        <v>15</v>
      </c>
      <c r="J43" s="3">
        <f t="shared" si="0"/>
        <v>31000</v>
      </c>
    </row>
    <row r="44" spans="2:10" hidden="1" x14ac:dyDescent="0.2">
      <c r="B44" s="22">
        <v>200400</v>
      </c>
      <c r="C44" s="2"/>
      <c r="D44" s="79">
        <v>44315</v>
      </c>
      <c r="E44" s="3">
        <v>-4000</v>
      </c>
      <c r="F44" s="2" t="s">
        <v>2</v>
      </c>
      <c r="G44" s="2"/>
      <c r="H44" s="2" t="s">
        <v>90</v>
      </c>
      <c r="I44" s="2" t="s">
        <v>15</v>
      </c>
      <c r="J44" s="3">
        <f t="shared" ref="J44:J49" si="1">E44+J43</f>
        <v>27000</v>
      </c>
    </row>
    <row r="45" spans="2:10" hidden="1" x14ac:dyDescent="0.2">
      <c r="B45" s="22">
        <v>200410</v>
      </c>
      <c r="C45" s="8">
        <v>44317</v>
      </c>
      <c r="D45" s="79">
        <f>D42+30</f>
        <v>44326</v>
      </c>
      <c r="E45" s="3">
        <v>11000</v>
      </c>
      <c r="F45" s="2" t="s">
        <v>0</v>
      </c>
      <c r="G45" s="2"/>
      <c r="H45" s="2" t="s">
        <v>88</v>
      </c>
      <c r="I45" s="2" t="s">
        <v>15</v>
      </c>
      <c r="J45" s="3">
        <f t="shared" si="1"/>
        <v>38000</v>
      </c>
    </row>
    <row r="46" spans="2:10" hidden="1" x14ac:dyDescent="0.2">
      <c r="B46" s="22">
        <v>200420</v>
      </c>
      <c r="C46" s="2"/>
      <c r="D46" s="79"/>
      <c r="E46" s="3">
        <v>0</v>
      </c>
      <c r="F46" s="2" t="s">
        <v>49</v>
      </c>
      <c r="G46" s="2"/>
      <c r="H46" s="2" t="s">
        <v>88</v>
      </c>
      <c r="I46" s="2" t="s">
        <v>15</v>
      </c>
      <c r="J46" s="3">
        <f t="shared" si="1"/>
        <v>38000</v>
      </c>
    </row>
    <row r="47" spans="2:10" hidden="1" x14ac:dyDescent="0.2">
      <c r="B47" s="22">
        <v>200430</v>
      </c>
      <c r="C47" s="2"/>
      <c r="D47" s="79">
        <v>44347</v>
      </c>
      <c r="E47" s="3">
        <v>-4000</v>
      </c>
      <c r="F47" s="2" t="s">
        <v>2</v>
      </c>
      <c r="G47" s="2"/>
      <c r="H47" s="2" t="s">
        <v>90</v>
      </c>
      <c r="I47" s="2" t="s">
        <v>15</v>
      </c>
      <c r="J47" s="3">
        <f t="shared" ref="J47" si="2">E47+J46</f>
        <v>34000</v>
      </c>
    </row>
    <row r="48" spans="2:10" hidden="1" x14ac:dyDescent="0.2">
      <c r="B48" s="22">
        <v>200440</v>
      </c>
      <c r="C48" s="8">
        <v>44348</v>
      </c>
      <c r="D48" s="79">
        <f>D45+31</f>
        <v>44357</v>
      </c>
      <c r="E48" s="3">
        <v>11000</v>
      </c>
      <c r="F48" s="2" t="s">
        <v>0</v>
      </c>
      <c r="G48" s="2"/>
      <c r="H48" s="2" t="s">
        <v>88</v>
      </c>
      <c r="I48" s="2" t="s">
        <v>15</v>
      </c>
      <c r="J48" s="3">
        <f t="shared" si="1"/>
        <v>45000</v>
      </c>
    </row>
    <row r="49" spans="2:10" hidden="1" x14ac:dyDescent="0.2">
      <c r="B49" s="22">
        <v>200450</v>
      </c>
      <c r="C49" s="2"/>
      <c r="D49" s="79">
        <v>44377</v>
      </c>
      <c r="E49" s="3">
        <v>-4000</v>
      </c>
      <c r="F49" s="2" t="s">
        <v>2</v>
      </c>
      <c r="G49" s="2"/>
      <c r="H49" s="2" t="s">
        <v>90</v>
      </c>
      <c r="I49" s="2" t="s">
        <v>15</v>
      </c>
      <c r="J49" s="3">
        <f t="shared" si="1"/>
        <v>41000</v>
      </c>
    </row>
    <row r="50" spans="2:10" hidden="1" x14ac:dyDescent="0.2">
      <c r="B50" s="22">
        <v>200460</v>
      </c>
      <c r="C50" s="2"/>
      <c r="D50" s="79">
        <v>44384</v>
      </c>
      <c r="E50" s="3">
        <v>-15000</v>
      </c>
      <c r="F50" s="2" t="s">
        <v>83</v>
      </c>
      <c r="G50" s="2"/>
      <c r="H50" s="2" t="s">
        <v>89</v>
      </c>
      <c r="I50" s="2" t="s">
        <v>15</v>
      </c>
      <c r="J50" s="3">
        <f t="shared" ref="J50" si="3">E50+J49</f>
        <v>26000</v>
      </c>
    </row>
    <row r="51" spans="2:10" hidden="1" x14ac:dyDescent="0.2">
      <c r="B51" s="22">
        <v>200470</v>
      </c>
      <c r="C51" s="8">
        <v>44378</v>
      </c>
      <c r="D51" s="79">
        <f>D48+30</f>
        <v>44387</v>
      </c>
      <c r="E51" s="3">
        <v>11000</v>
      </c>
      <c r="F51" s="2" t="s">
        <v>0</v>
      </c>
      <c r="G51" s="2"/>
      <c r="H51" s="2" t="s">
        <v>88</v>
      </c>
      <c r="I51" s="2" t="s">
        <v>15</v>
      </c>
      <c r="J51" s="3">
        <f t="shared" si="0"/>
        <v>37000</v>
      </c>
    </row>
    <row r="52" spans="2:10" hidden="1" x14ac:dyDescent="0.2">
      <c r="B52" s="22">
        <v>200480</v>
      </c>
      <c r="C52" s="2"/>
      <c r="D52" s="79">
        <v>44407</v>
      </c>
      <c r="E52" s="3">
        <v>-4000</v>
      </c>
      <c r="F52" s="2" t="s">
        <v>2</v>
      </c>
      <c r="G52" s="2"/>
      <c r="H52" s="2" t="s">
        <v>90</v>
      </c>
      <c r="I52" s="2" t="s">
        <v>15</v>
      </c>
      <c r="J52" s="3">
        <f t="shared" si="0"/>
        <v>33000</v>
      </c>
    </row>
    <row r="53" spans="2:10" hidden="1" x14ac:dyDescent="0.2">
      <c r="B53" s="22">
        <v>200490</v>
      </c>
      <c r="C53" s="2"/>
      <c r="D53" s="79">
        <v>44414</v>
      </c>
      <c r="E53" s="3">
        <v>-15000</v>
      </c>
      <c r="F53" s="2" t="s">
        <v>81</v>
      </c>
      <c r="G53" s="2" t="s">
        <v>82</v>
      </c>
      <c r="H53" s="2" t="s">
        <v>90</v>
      </c>
      <c r="I53" s="2" t="s">
        <v>15</v>
      </c>
      <c r="J53" s="3">
        <f t="shared" ref="J53" si="4">E53+J52</f>
        <v>18000</v>
      </c>
    </row>
    <row r="54" spans="2:10" hidden="1" x14ac:dyDescent="0.2">
      <c r="B54" s="22">
        <v>200500</v>
      </c>
      <c r="C54" s="8">
        <v>44409</v>
      </c>
      <c r="D54" s="79">
        <f>D51+31</f>
        <v>44418</v>
      </c>
      <c r="E54" s="3">
        <v>11000</v>
      </c>
      <c r="F54" s="2" t="s">
        <v>0</v>
      </c>
      <c r="G54" s="2"/>
      <c r="H54" s="2" t="s">
        <v>88</v>
      </c>
      <c r="I54" s="2" t="s">
        <v>15</v>
      </c>
      <c r="J54" s="3">
        <f t="shared" si="0"/>
        <v>29000</v>
      </c>
    </row>
    <row r="55" spans="2:10" hidden="1" x14ac:dyDescent="0.2">
      <c r="B55" s="22">
        <v>200510</v>
      </c>
      <c r="C55" s="2"/>
      <c r="D55" s="79">
        <v>44439</v>
      </c>
      <c r="E55" s="3">
        <v>-4000</v>
      </c>
      <c r="F55" s="2" t="s">
        <v>2</v>
      </c>
      <c r="G55" s="2"/>
      <c r="H55" s="2" t="s">
        <v>90</v>
      </c>
      <c r="I55" s="2" t="s">
        <v>15</v>
      </c>
      <c r="J55" s="3">
        <f t="shared" ref="J55" si="5">E55+J54</f>
        <v>25000</v>
      </c>
    </row>
    <row r="56" spans="2:10" hidden="1" x14ac:dyDescent="0.2">
      <c r="B56" s="22">
        <v>200520</v>
      </c>
      <c r="C56" s="2"/>
      <c r="D56" s="79">
        <v>44446</v>
      </c>
      <c r="E56" s="3">
        <v>-16000</v>
      </c>
      <c r="F56" s="2" t="s">
        <v>81</v>
      </c>
      <c r="G56" s="2" t="s">
        <v>84</v>
      </c>
      <c r="H56" s="2" t="s">
        <v>90</v>
      </c>
      <c r="I56" s="2" t="s">
        <v>15</v>
      </c>
      <c r="J56" s="3">
        <f t="shared" si="0"/>
        <v>9000</v>
      </c>
    </row>
    <row r="57" spans="2:10" hidden="1" x14ac:dyDescent="0.2">
      <c r="B57" s="22">
        <v>200530</v>
      </c>
      <c r="C57" s="8">
        <v>44440</v>
      </c>
      <c r="D57" s="79">
        <f>D54+31</f>
        <v>44449</v>
      </c>
      <c r="E57" s="3">
        <v>11000</v>
      </c>
      <c r="F57" s="2" t="s">
        <v>0</v>
      </c>
      <c r="G57" s="2"/>
      <c r="H57" s="2" t="s">
        <v>88</v>
      </c>
      <c r="I57" s="2" t="s">
        <v>15</v>
      </c>
      <c r="J57" s="3">
        <f t="shared" si="0"/>
        <v>20000</v>
      </c>
    </row>
    <row r="58" spans="2:10" hidden="1" x14ac:dyDescent="0.2">
      <c r="B58" s="22">
        <v>200540</v>
      </c>
      <c r="C58" s="8"/>
      <c r="D58" s="79">
        <v>44468</v>
      </c>
      <c r="E58" s="3">
        <v>-4000</v>
      </c>
      <c r="F58" s="2" t="s">
        <v>2</v>
      </c>
      <c r="G58" s="2"/>
      <c r="H58" s="2" t="s">
        <v>90</v>
      </c>
      <c r="I58" s="2" t="s">
        <v>15</v>
      </c>
      <c r="J58" s="3">
        <f t="shared" ref="J58" si="6">E58+J57</f>
        <v>16000</v>
      </c>
    </row>
    <row r="59" spans="2:10" hidden="1" x14ac:dyDescent="0.2">
      <c r="B59" s="22">
        <v>200550</v>
      </c>
      <c r="C59" s="8"/>
      <c r="D59" s="79">
        <v>44468</v>
      </c>
      <c r="E59" s="3">
        <v>-16000</v>
      </c>
      <c r="F59" s="2" t="s">
        <v>83</v>
      </c>
      <c r="G59" s="2" t="s">
        <v>84</v>
      </c>
      <c r="H59" s="48" t="s">
        <v>89</v>
      </c>
      <c r="I59" s="2" t="s">
        <v>15</v>
      </c>
      <c r="J59" s="3">
        <f t="shared" si="0"/>
        <v>0</v>
      </c>
    </row>
    <row r="60" spans="2:10" hidden="1" x14ac:dyDescent="0.2">
      <c r="B60" s="22">
        <v>200560</v>
      </c>
      <c r="C60" s="8">
        <v>44470</v>
      </c>
      <c r="D60" s="79">
        <f>D57+30</f>
        <v>44479</v>
      </c>
      <c r="E60" s="3">
        <v>11000</v>
      </c>
      <c r="F60" s="2" t="s">
        <v>0</v>
      </c>
      <c r="G60" s="2"/>
      <c r="H60" s="2" t="s">
        <v>88</v>
      </c>
      <c r="I60" s="2" t="s">
        <v>15</v>
      </c>
      <c r="J60" s="3">
        <f t="shared" si="0"/>
        <v>11000</v>
      </c>
    </row>
    <row r="61" spans="2:10" hidden="1" x14ac:dyDescent="0.2">
      <c r="B61" s="22">
        <v>200570</v>
      </c>
      <c r="C61" s="8"/>
      <c r="D61" s="79">
        <v>44502</v>
      </c>
      <c r="E61" s="3">
        <v>-4000</v>
      </c>
      <c r="F61" s="2" t="s">
        <v>2</v>
      </c>
      <c r="G61" s="2"/>
      <c r="H61" s="2" t="s">
        <v>90</v>
      </c>
      <c r="I61" s="2" t="s">
        <v>15</v>
      </c>
      <c r="J61" s="3">
        <f t="shared" si="0"/>
        <v>7000</v>
      </c>
    </row>
    <row r="62" spans="2:10" hidden="1" x14ac:dyDescent="0.2">
      <c r="B62" s="22">
        <v>200580</v>
      </c>
      <c r="C62" s="8"/>
      <c r="D62" s="79">
        <v>44503</v>
      </c>
      <c r="E62" s="3">
        <v>-7000</v>
      </c>
      <c r="F62" s="2" t="s">
        <v>3</v>
      </c>
      <c r="G62" s="2"/>
      <c r="H62" s="2" t="s">
        <v>89</v>
      </c>
      <c r="I62" s="2" t="s">
        <v>15</v>
      </c>
      <c r="J62" s="3">
        <f t="shared" ref="J62" si="7">E62+J61</f>
        <v>0</v>
      </c>
    </row>
    <row r="63" spans="2:10" hidden="1" x14ac:dyDescent="0.2">
      <c r="B63" s="22">
        <v>200590</v>
      </c>
      <c r="C63" s="8">
        <v>44501</v>
      </c>
      <c r="D63" s="79">
        <f>D60+31</f>
        <v>44510</v>
      </c>
      <c r="E63" s="3">
        <v>11000</v>
      </c>
      <c r="F63" s="2" t="s">
        <v>0</v>
      </c>
      <c r="G63" s="2"/>
      <c r="H63" s="2" t="s">
        <v>88</v>
      </c>
      <c r="I63" s="2" t="s">
        <v>15</v>
      </c>
      <c r="J63" s="3">
        <f t="shared" si="0"/>
        <v>11000</v>
      </c>
    </row>
    <row r="64" spans="2:10" hidden="1" x14ac:dyDescent="0.2">
      <c r="B64" s="22">
        <v>200600</v>
      </c>
      <c r="C64" s="8"/>
      <c r="D64" s="79">
        <v>44530</v>
      </c>
      <c r="E64" s="3">
        <v>-4000</v>
      </c>
      <c r="F64" s="2" t="s">
        <v>2</v>
      </c>
      <c r="G64" s="2"/>
      <c r="H64" s="2" t="s">
        <v>90</v>
      </c>
      <c r="I64" s="2" t="s">
        <v>15</v>
      </c>
      <c r="J64" s="3">
        <f t="shared" ref="J64" si="8">E64+J63</f>
        <v>7000</v>
      </c>
    </row>
    <row r="65" spans="2:10" hidden="1" x14ac:dyDescent="0.2">
      <c r="B65" s="22">
        <v>200610</v>
      </c>
      <c r="C65" s="8"/>
      <c r="D65" s="79">
        <v>44537</v>
      </c>
      <c r="E65" s="3">
        <v>-7000</v>
      </c>
      <c r="F65" s="2" t="s">
        <v>3</v>
      </c>
      <c r="G65" s="2"/>
      <c r="H65" s="2" t="s">
        <v>89</v>
      </c>
      <c r="I65" s="2" t="s">
        <v>15</v>
      </c>
      <c r="J65" s="3">
        <f t="shared" si="0"/>
        <v>0</v>
      </c>
    </row>
    <row r="66" spans="2:10" hidden="1" x14ac:dyDescent="0.2">
      <c r="B66" s="22">
        <v>200620</v>
      </c>
      <c r="C66" s="8">
        <v>44531</v>
      </c>
      <c r="D66" s="79">
        <f>D63+30</f>
        <v>44540</v>
      </c>
      <c r="E66" s="3">
        <v>11000</v>
      </c>
      <c r="F66" s="2" t="s">
        <v>0</v>
      </c>
      <c r="G66" s="2"/>
      <c r="H66" s="2" t="s">
        <v>88</v>
      </c>
      <c r="I66" s="2" t="s">
        <v>15</v>
      </c>
      <c r="J66" s="3">
        <f t="shared" si="0"/>
        <v>11000</v>
      </c>
    </row>
    <row r="67" spans="2:10" hidden="1" x14ac:dyDescent="0.2">
      <c r="B67" s="22">
        <v>200630</v>
      </c>
      <c r="C67" s="8"/>
      <c r="D67" s="79">
        <v>44560</v>
      </c>
      <c r="E67" s="3">
        <v>-4000</v>
      </c>
      <c r="F67" s="2" t="s">
        <v>2</v>
      </c>
      <c r="G67" s="2"/>
      <c r="H67" s="2" t="s">
        <v>90</v>
      </c>
      <c r="I67" s="2" t="s">
        <v>15</v>
      </c>
      <c r="J67" s="3">
        <f t="shared" ref="J67:J68" si="9">E67+J66</f>
        <v>7000</v>
      </c>
    </row>
    <row r="68" spans="2:10" hidden="1" x14ac:dyDescent="0.2">
      <c r="B68" s="22">
        <v>200640</v>
      </c>
      <c r="C68" s="8"/>
      <c r="D68" s="79">
        <v>44564</v>
      </c>
      <c r="E68" s="3">
        <v>-7000</v>
      </c>
      <c r="F68" s="2" t="s">
        <v>3</v>
      </c>
      <c r="G68" s="2"/>
      <c r="H68" s="2" t="s">
        <v>89</v>
      </c>
      <c r="I68" s="2" t="s">
        <v>15</v>
      </c>
      <c r="J68" s="3">
        <f t="shared" si="9"/>
        <v>0</v>
      </c>
    </row>
    <row r="69" spans="2:10" hidden="1" x14ac:dyDescent="0.2">
      <c r="B69" s="22">
        <v>200650</v>
      </c>
      <c r="C69" s="8">
        <f>Table1[[#This Row],[Tarih]]</f>
        <v>44571</v>
      </c>
      <c r="D69" s="79">
        <v>44571</v>
      </c>
      <c r="E69" s="3">
        <v>15000</v>
      </c>
      <c r="F69" s="2" t="s">
        <v>0</v>
      </c>
      <c r="G69" s="2"/>
      <c r="H69" s="2" t="s">
        <v>88</v>
      </c>
      <c r="I69" s="2" t="s">
        <v>15</v>
      </c>
      <c r="J69" s="3">
        <f t="shared" ref="J69:J74" si="10">E69+J68</f>
        <v>15000</v>
      </c>
    </row>
    <row r="70" spans="2:10" hidden="1" x14ac:dyDescent="0.2">
      <c r="B70" s="22">
        <v>200660</v>
      </c>
      <c r="C70" s="8"/>
      <c r="D70" s="79">
        <v>44589</v>
      </c>
      <c r="E70" s="3">
        <v>-4000</v>
      </c>
      <c r="F70" s="2" t="s">
        <v>2</v>
      </c>
      <c r="G70" s="2"/>
      <c r="H70" s="2" t="s">
        <v>90</v>
      </c>
      <c r="I70" s="2" t="s">
        <v>15</v>
      </c>
      <c r="J70" s="3">
        <f t="shared" si="10"/>
        <v>11000</v>
      </c>
    </row>
    <row r="71" spans="2:10" hidden="1" x14ac:dyDescent="0.2">
      <c r="B71" s="22">
        <v>200670</v>
      </c>
      <c r="C71" s="8"/>
      <c r="D71" s="79">
        <v>44599</v>
      </c>
      <c r="E71" s="3">
        <v>-11000</v>
      </c>
      <c r="F71" s="2" t="s">
        <v>4</v>
      </c>
      <c r="G71" s="2"/>
      <c r="H71" s="2" t="s">
        <v>90</v>
      </c>
      <c r="I71" s="2" t="s">
        <v>15</v>
      </c>
      <c r="J71" s="3">
        <f t="shared" si="10"/>
        <v>0</v>
      </c>
    </row>
    <row r="72" spans="2:10" hidden="1" x14ac:dyDescent="0.2">
      <c r="B72" s="22">
        <v>200680</v>
      </c>
      <c r="C72" s="8">
        <f>Table1[[#This Row],[Tarih]]</f>
        <v>44602</v>
      </c>
      <c r="D72" s="79">
        <v>44602</v>
      </c>
      <c r="E72" s="3">
        <v>15000</v>
      </c>
      <c r="F72" s="2" t="s">
        <v>0</v>
      </c>
      <c r="G72" s="2"/>
      <c r="H72" s="2" t="s">
        <v>88</v>
      </c>
      <c r="I72" s="2" t="s">
        <v>15</v>
      </c>
      <c r="J72" s="3">
        <f t="shared" si="10"/>
        <v>15000</v>
      </c>
    </row>
    <row r="73" spans="2:10" hidden="1" x14ac:dyDescent="0.2">
      <c r="B73" s="22">
        <v>200690</v>
      </c>
      <c r="C73" s="8"/>
      <c r="D73" s="79">
        <v>44620</v>
      </c>
      <c r="E73" s="3">
        <v>-4000</v>
      </c>
      <c r="F73" s="2" t="s">
        <v>2</v>
      </c>
      <c r="G73" s="2"/>
      <c r="H73" s="2" t="s">
        <v>90</v>
      </c>
      <c r="I73" s="2" t="s">
        <v>15</v>
      </c>
      <c r="J73" s="3">
        <f t="shared" ref="J73" si="11">E73+J72</f>
        <v>11000</v>
      </c>
    </row>
    <row r="74" spans="2:10" hidden="1" x14ac:dyDescent="0.2">
      <c r="B74" s="22">
        <v>200700</v>
      </c>
      <c r="C74" s="8"/>
      <c r="D74" s="79" t="s">
        <v>96</v>
      </c>
      <c r="E74" s="3">
        <v>0</v>
      </c>
      <c r="F74" s="2" t="s">
        <v>97</v>
      </c>
      <c r="G74" s="2"/>
      <c r="H74" s="2" t="s">
        <v>88</v>
      </c>
      <c r="I74" s="2" t="s">
        <v>15</v>
      </c>
      <c r="J74" s="3">
        <f t="shared" si="10"/>
        <v>11000</v>
      </c>
    </row>
    <row r="75" spans="2:10" hidden="1" x14ac:dyDescent="0.2">
      <c r="B75" s="22">
        <v>200710</v>
      </c>
      <c r="C75" s="8">
        <f>Table1[[#This Row],[Tarih]]</f>
        <v>44630</v>
      </c>
      <c r="D75" s="79">
        <v>44630</v>
      </c>
      <c r="E75" s="3">
        <v>15000</v>
      </c>
      <c r="F75" s="2" t="s">
        <v>0</v>
      </c>
      <c r="G75" s="2"/>
      <c r="H75" s="2" t="s">
        <v>88</v>
      </c>
      <c r="I75" s="2" t="s">
        <v>15</v>
      </c>
      <c r="J75" s="3">
        <f>E75+J74</f>
        <v>26000</v>
      </c>
    </row>
    <row r="76" spans="2:10" hidden="1" x14ac:dyDescent="0.2">
      <c r="B76" s="22"/>
      <c r="C76" s="8"/>
      <c r="D76" s="79">
        <v>44638</v>
      </c>
      <c r="E76" s="3">
        <v>-22000</v>
      </c>
      <c r="F76" s="2" t="s">
        <v>3</v>
      </c>
      <c r="G76" s="2"/>
      <c r="H76" s="2" t="s">
        <v>89</v>
      </c>
      <c r="I76" s="2" t="s">
        <v>15</v>
      </c>
      <c r="J76" s="3">
        <f>E76+J75</f>
        <v>4000</v>
      </c>
    </row>
    <row r="77" spans="2:10" hidden="1" x14ac:dyDescent="0.2">
      <c r="B77" s="22">
        <v>200720</v>
      </c>
      <c r="C77" s="8"/>
      <c r="D77" s="79">
        <v>44651</v>
      </c>
      <c r="E77" s="3">
        <v>-4000</v>
      </c>
      <c r="F77" s="2" t="s">
        <v>2</v>
      </c>
      <c r="G77" s="2"/>
      <c r="H77" s="2" t="s">
        <v>90</v>
      </c>
      <c r="I77" s="2" t="s">
        <v>15</v>
      </c>
      <c r="J77" s="3">
        <f>E77+J76</f>
        <v>0</v>
      </c>
    </row>
    <row r="78" spans="2:10" hidden="1" x14ac:dyDescent="0.2">
      <c r="B78" s="22">
        <v>200730</v>
      </c>
      <c r="C78" s="8"/>
      <c r="D78" s="79"/>
      <c r="E78" s="3">
        <v>0</v>
      </c>
      <c r="F78" s="2" t="s">
        <v>4</v>
      </c>
      <c r="G78" s="2"/>
      <c r="H78" s="2" t="s">
        <v>90</v>
      </c>
      <c r="I78" s="2" t="s">
        <v>15</v>
      </c>
      <c r="J78" s="3">
        <f t="shared" ref="J78:J97" si="12">E78+J77</f>
        <v>0</v>
      </c>
    </row>
    <row r="79" spans="2:10" hidden="1" x14ac:dyDescent="0.2">
      <c r="B79" s="22">
        <v>200740</v>
      </c>
      <c r="C79" s="8">
        <f>Table1[[#This Row],[Tarih]]</f>
        <v>44661</v>
      </c>
      <c r="D79" s="79">
        <v>44661</v>
      </c>
      <c r="E79" s="3">
        <v>15000</v>
      </c>
      <c r="F79" s="2" t="s">
        <v>0</v>
      </c>
      <c r="G79" s="2"/>
      <c r="H79" s="2" t="s">
        <v>88</v>
      </c>
      <c r="I79" s="2" t="s">
        <v>15</v>
      </c>
      <c r="J79" s="3">
        <f t="shared" si="12"/>
        <v>15000</v>
      </c>
    </row>
    <row r="80" spans="2:10" hidden="1" x14ac:dyDescent="0.2">
      <c r="B80" s="22">
        <v>200750</v>
      </c>
      <c r="C80" s="8"/>
      <c r="D80" s="79">
        <v>44675</v>
      </c>
      <c r="E80" s="3">
        <v>-4000</v>
      </c>
      <c r="F80" s="2" t="s">
        <v>2</v>
      </c>
      <c r="G80" s="2"/>
      <c r="H80" s="2" t="s">
        <v>90</v>
      </c>
      <c r="I80" s="2" t="s">
        <v>15</v>
      </c>
      <c r="J80" s="3">
        <f t="shared" si="12"/>
        <v>11000</v>
      </c>
    </row>
    <row r="81" spans="2:10" hidden="1" x14ac:dyDescent="0.2">
      <c r="B81" s="22">
        <v>200760</v>
      </c>
      <c r="C81" s="8"/>
      <c r="D81" s="79">
        <v>44676</v>
      </c>
      <c r="E81" s="3">
        <v>-11000</v>
      </c>
      <c r="F81" s="2" t="s">
        <v>3</v>
      </c>
      <c r="G81" s="2"/>
      <c r="H81" s="2" t="s">
        <v>89</v>
      </c>
      <c r="I81" s="2" t="s">
        <v>15</v>
      </c>
      <c r="J81" s="3">
        <f t="shared" si="12"/>
        <v>0</v>
      </c>
    </row>
    <row r="82" spans="2:10" hidden="1" x14ac:dyDescent="0.2">
      <c r="B82" s="22">
        <v>200770</v>
      </c>
      <c r="C82" s="8">
        <f>Table1[[#This Row],[Tarih]]</f>
        <v>44691</v>
      </c>
      <c r="D82" s="79">
        <v>44691</v>
      </c>
      <c r="E82" s="3">
        <v>15000</v>
      </c>
      <c r="F82" s="2" t="s">
        <v>0</v>
      </c>
      <c r="G82" s="2"/>
      <c r="H82" s="2" t="s">
        <v>88</v>
      </c>
      <c r="I82" s="2" t="s">
        <v>15</v>
      </c>
      <c r="J82" s="3">
        <f t="shared" si="12"/>
        <v>15000</v>
      </c>
    </row>
    <row r="83" spans="2:10" hidden="1" x14ac:dyDescent="0.2">
      <c r="B83" s="22">
        <v>200780</v>
      </c>
      <c r="C83" s="8"/>
      <c r="D83" s="79">
        <v>44711</v>
      </c>
      <c r="E83" s="3">
        <v>-4000</v>
      </c>
      <c r="F83" s="2" t="s">
        <v>2</v>
      </c>
      <c r="G83" s="2"/>
      <c r="H83" s="2" t="s">
        <v>90</v>
      </c>
      <c r="I83" s="2" t="s">
        <v>15</v>
      </c>
      <c r="J83" s="3">
        <f t="shared" si="12"/>
        <v>11000</v>
      </c>
    </row>
    <row r="84" spans="2:10" ht="16" hidden="1" customHeight="1" x14ac:dyDescent="0.2">
      <c r="B84" s="22">
        <v>200790</v>
      </c>
      <c r="C84" s="8"/>
      <c r="D84" s="79">
        <v>44714</v>
      </c>
      <c r="E84" s="3">
        <v>-11000</v>
      </c>
      <c r="F84" s="2" t="s">
        <v>3</v>
      </c>
      <c r="G84" s="2"/>
      <c r="H84" s="2" t="s">
        <v>89</v>
      </c>
      <c r="I84" s="2" t="s">
        <v>15</v>
      </c>
      <c r="J84" s="3">
        <f t="shared" ref="J84" si="13">E84+J83</f>
        <v>0</v>
      </c>
    </row>
    <row r="85" spans="2:10" hidden="1" x14ac:dyDescent="0.2">
      <c r="B85" s="22">
        <v>200800</v>
      </c>
      <c r="C85" s="8">
        <f>Table1[[#This Row],[Tarih]]</f>
        <v>44722</v>
      </c>
      <c r="D85" s="79">
        <v>44722</v>
      </c>
      <c r="E85" s="3">
        <v>15000</v>
      </c>
      <c r="F85" s="2" t="s">
        <v>0</v>
      </c>
      <c r="G85" s="2"/>
      <c r="H85" s="2" t="s">
        <v>88</v>
      </c>
      <c r="I85" s="2" t="s">
        <v>15</v>
      </c>
      <c r="J85" s="3">
        <f t="shared" si="12"/>
        <v>15000</v>
      </c>
    </row>
    <row r="86" spans="2:10" ht="16" hidden="1" customHeight="1" x14ac:dyDescent="0.2">
      <c r="B86" s="22">
        <v>200810</v>
      </c>
      <c r="C86" s="8"/>
      <c r="D86" s="79">
        <v>44735</v>
      </c>
      <c r="E86" s="3">
        <v>-4000</v>
      </c>
      <c r="F86" s="2" t="s">
        <v>2</v>
      </c>
      <c r="G86" s="2"/>
      <c r="H86" s="2" t="s">
        <v>90</v>
      </c>
      <c r="I86" s="2" t="s">
        <v>15</v>
      </c>
      <c r="J86" s="3">
        <f t="shared" si="12"/>
        <v>11000</v>
      </c>
    </row>
    <row r="87" spans="2:10" hidden="1" x14ac:dyDescent="0.2">
      <c r="B87" s="22">
        <v>200820</v>
      </c>
      <c r="C87" s="8"/>
      <c r="D87" s="79">
        <v>44740</v>
      </c>
      <c r="E87" s="3">
        <v>-11000</v>
      </c>
      <c r="F87" s="2" t="s">
        <v>3</v>
      </c>
      <c r="G87" s="2"/>
      <c r="H87" s="2" t="s">
        <v>89</v>
      </c>
      <c r="I87" s="2" t="s">
        <v>15</v>
      </c>
      <c r="J87" s="3">
        <f t="shared" si="12"/>
        <v>0</v>
      </c>
    </row>
    <row r="88" spans="2:10" ht="16" hidden="1" customHeight="1" x14ac:dyDescent="0.2">
      <c r="B88" s="22">
        <v>200830</v>
      </c>
      <c r="C88" s="8">
        <f>Table1[[#This Row],[Tarih]]</f>
        <v>44752</v>
      </c>
      <c r="D88" s="79">
        <v>44752</v>
      </c>
      <c r="E88" s="3">
        <v>15000</v>
      </c>
      <c r="F88" s="2" t="s">
        <v>0</v>
      </c>
      <c r="G88" s="2"/>
      <c r="H88" s="2" t="s">
        <v>88</v>
      </c>
      <c r="I88" s="2" t="s">
        <v>15</v>
      </c>
      <c r="J88" s="3">
        <f t="shared" si="12"/>
        <v>15000</v>
      </c>
    </row>
    <row r="89" spans="2:10" hidden="1" x14ac:dyDescent="0.2">
      <c r="B89" s="22">
        <v>200840</v>
      </c>
      <c r="C89" s="8"/>
      <c r="D89" s="79">
        <v>44768</v>
      </c>
      <c r="E89" s="3">
        <v>-4000</v>
      </c>
      <c r="F89" s="2" t="s">
        <v>2</v>
      </c>
      <c r="G89" s="2"/>
      <c r="H89" s="2" t="s">
        <v>90</v>
      </c>
      <c r="I89" s="2" t="s">
        <v>15</v>
      </c>
      <c r="J89" s="3">
        <f t="shared" si="12"/>
        <v>11000</v>
      </c>
    </row>
    <row r="90" spans="2:10" ht="16" hidden="1" customHeight="1" x14ac:dyDescent="0.2">
      <c r="B90" s="22">
        <v>200850</v>
      </c>
      <c r="C90" s="8"/>
      <c r="D90" s="79">
        <v>44768</v>
      </c>
      <c r="E90" s="3">
        <v>-11000</v>
      </c>
      <c r="F90" s="2" t="s">
        <v>3</v>
      </c>
      <c r="G90" s="2"/>
      <c r="H90" s="2" t="s">
        <v>89</v>
      </c>
      <c r="I90" s="2" t="s">
        <v>15</v>
      </c>
      <c r="J90" s="3">
        <f t="shared" si="12"/>
        <v>0</v>
      </c>
    </row>
    <row r="91" spans="2:10" hidden="1" x14ac:dyDescent="0.2">
      <c r="B91" s="22">
        <v>200860</v>
      </c>
      <c r="C91" s="8">
        <f>Table1[[#This Row],[Tarih]]</f>
        <v>44783</v>
      </c>
      <c r="D91" s="79">
        <v>44783</v>
      </c>
      <c r="E91" s="3">
        <v>15000</v>
      </c>
      <c r="F91" s="2" t="s">
        <v>0</v>
      </c>
      <c r="G91" s="2"/>
      <c r="H91" s="2" t="s">
        <v>88</v>
      </c>
      <c r="I91" s="2" t="s">
        <v>15</v>
      </c>
      <c r="J91" s="3">
        <f t="shared" si="12"/>
        <v>15000</v>
      </c>
    </row>
    <row r="92" spans="2:10" hidden="1" x14ac:dyDescent="0.2">
      <c r="B92" s="22">
        <v>200870</v>
      </c>
      <c r="C92" s="8"/>
      <c r="D92" s="79">
        <v>44802</v>
      </c>
      <c r="E92" s="3">
        <v>-4000</v>
      </c>
      <c r="F92" s="2" t="s">
        <v>2</v>
      </c>
      <c r="G92" s="2"/>
      <c r="H92" s="2" t="s">
        <v>90</v>
      </c>
      <c r="I92" s="2" t="s">
        <v>15</v>
      </c>
      <c r="J92" s="3">
        <f t="shared" si="12"/>
        <v>11000</v>
      </c>
    </row>
    <row r="93" spans="2:10" hidden="1" x14ac:dyDescent="0.2">
      <c r="B93" s="22">
        <v>200880</v>
      </c>
      <c r="C93" s="8"/>
      <c r="D93" s="79">
        <v>44811</v>
      </c>
      <c r="E93" s="3">
        <v>-11000</v>
      </c>
      <c r="F93" s="2" t="s">
        <v>3</v>
      </c>
      <c r="G93" s="2"/>
      <c r="H93" s="2" t="s">
        <v>89</v>
      </c>
      <c r="I93" s="2" t="s">
        <v>15</v>
      </c>
      <c r="J93" s="3">
        <f t="shared" si="12"/>
        <v>0</v>
      </c>
    </row>
    <row r="94" spans="2:10" hidden="1" x14ac:dyDescent="0.2">
      <c r="B94" s="22">
        <v>200890</v>
      </c>
      <c r="C94" s="8">
        <f>Table1[[#This Row],[Tarih]]</f>
        <v>44814</v>
      </c>
      <c r="D94" s="79">
        <v>44814</v>
      </c>
      <c r="E94" s="3">
        <v>15000</v>
      </c>
      <c r="F94" s="2" t="s">
        <v>0</v>
      </c>
      <c r="G94" s="2"/>
      <c r="H94" s="2" t="s">
        <v>88</v>
      </c>
      <c r="I94" s="2" t="s">
        <v>15</v>
      </c>
      <c r="J94" s="3">
        <f t="shared" si="12"/>
        <v>15000</v>
      </c>
    </row>
    <row r="95" spans="2:10" hidden="1" x14ac:dyDescent="0.2">
      <c r="B95" s="22">
        <v>200900</v>
      </c>
      <c r="C95" s="8"/>
      <c r="D95" s="79">
        <v>44831</v>
      </c>
      <c r="E95" s="3">
        <v>-4000</v>
      </c>
      <c r="F95" s="2" t="s">
        <v>2</v>
      </c>
      <c r="G95" s="2"/>
      <c r="H95" s="2" t="s">
        <v>90</v>
      </c>
      <c r="I95" s="2" t="s">
        <v>15</v>
      </c>
      <c r="J95" s="3">
        <f t="shared" si="12"/>
        <v>11000</v>
      </c>
    </row>
    <row r="96" spans="2:10" ht="17" hidden="1" thickBot="1" x14ac:dyDescent="0.25">
      <c r="B96" s="65">
        <v>200910</v>
      </c>
      <c r="C96" s="33"/>
      <c r="D96" s="82">
        <v>44831</v>
      </c>
      <c r="E96" s="66">
        <v>-11000</v>
      </c>
      <c r="F96" s="10" t="s">
        <v>3</v>
      </c>
      <c r="G96" s="10"/>
      <c r="H96" s="2" t="s">
        <v>89</v>
      </c>
      <c r="I96" s="2" t="s">
        <v>15</v>
      </c>
      <c r="J96" s="66">
        <f t="shared" si="12"/>
        <v>0</v>
      </c>
    </row>
    <row r="97" spans="2:10" ht="17" hidden="1" thickTop="1" x14ac:dyDescent="0.2">
      <c r="B97" s="22">
        <v>200920</v>
      </c>
      <c r="C97" s="8">
        <f>Table1[[#This Row],[Tarih]]</f>
        <v>44854</v>
      </c>
      <c r="D97" s="79">
        <v>44854</v>
      </c>
      <c r="E97" s="3">
        <v>27000</v>
      </c>
      <c r="F97" s="2" t="s">
        <v>0</v>
      </c>
      <c r="G97" s="77" t="s">
        <v>80</v>
      </c>
      <c r="H97" s="2" t="s">
        <v>88</v>
      </c>
      <c r="I97" s="2" t="s">
        <v>15</v>
      </c>
      <c r="J97" s="3">
        <f t="shared" si="12"/>
        <v>27000</v>
      </c>
    </row>
    <row r="98" spans="2:10" hidden="1" x14ac:dyDescent="0.2">
      <c r="B98" s="22">
        <v>200930</v>
      </c>
      <c r="C98" s="8"/>
      <c r="D98" s="79">
        <v>44881</v>
      </c>
      <c r="E98" s="3">
        <v>-4000</v>
      </c>
      <c r="F98" s="2" t="s">
        <v>2</v>
      </c>
      <c r="G98" s="2" t="s">
        <v>110</v>
      </c>
      <c r="H98" s="2" t="s">
        <v>90</v>
      </c>
      <c r="I98" s="2" t="s">
        <v>15</v>
      </c>
      <c r="J98" s="3">
        <f t="shared" ref="J98:J105" si="14">E98+J97</f>
        <v>23000</v>
      </c>
    </row>
    <row r="99" spans="2:10" hidden="1" x14ac:dyDescent="0.2">
      <c r="B99" s="22">
        <v>200940</v>
      </c>
      <c r="C99" s="8"/>
      <c r="D99" s="79">
        <v>44887</v>
      </c>
      <c r="E99" s="3">
        <v>-11000</v>
      </c>
      <c r="F99" s="2" t="s">
        <v>4</v>
      </c>
      <c r="G99" s="2" t="s">
        <v>111</v>
      </c>
      <c r="H99" s="2" t="s">
        <v>90</v>
      </c>
      <c r="I99" s="2" t="s">
        <v>15</v>
      </c>
      <c r="J99" s="3">
        <f t="shared" si="14"/>
        <v>12000</v>
      </c>
    </row>
    <row r="100" spans="2:10" hidden="1" x14ac:dyDescent="0.2">
      <c r="B100" s="22">
        <v>200950</v>
      </c>
      <c r="C100" s="8">
        <f>Table1[[#This Row],[Tarih]]</f>
        <v>44885</v>
      </c>
      <c r="D100" s="79">
        <v>44885</v>
      </c>
      <c r="E100" s="3">
        <v>27000</v>
      </c>
      <c r="F100" s="2" t="s">
        <v>0</v>
      </c>
      <c r="G100" s="2"/>
      <c r="H100" s="2" t="s">
        <v>88</v>
      </c>
      <c r="I100" s="2" t="s">
        <v>15</v>
      </c>
      <c r="J100" s="3">
        <f t="shared" si="14"/>
        <v>39000</v>
      </c>
    </row>
    <row r="101" spans="2:10" hidden="1" x14ac:dyDescent="0.2">
      <c r="B101" s="22">
        <v>200960</v>
      </c>
      <c r="C101" s="8"/>
      <c r="D101" s="79">
        <v>44896</v>
      </c>
      <c r="E101" s="3">
        <v>-4000</v>
      </c>
      <c r="F101" s="2" t="s">
        <v>2</v>
      </c>
      <c r="G101" s="2"/>
      <c r="H101" s="2" t="s">
        <v>90</v>
      </c>
      <c r="I101" s="2" t="s">
        <v>15</v>
      </c>
      <c r="J101" s="3">
        <f t="shared" si="14"/>
        <v>35000</v>
      </c>
    </row>
    <row r="102" spans="2:10" hidden="1" x14ac:dyDescent="0.2">
      <c r="B102" s="22">
        <v>200970</v>
      </c>
      <c r="C102" s="8">
        <f>Table1[[#This Row],[Tarih]]</f>
        <v>44915</v>
      </c>
      <c r="D102" s="79">
        <v>44915</v>
      </c>
      <c r="E102" s="3">
        <v>27000</v>
      </c>
      <c r="F102" s="2" t="s">
        <v>0</v>
      </c>
      <c r="G102" s="2"/>
      <c r="H102" s="2" t="s">
        <v>88</v>
      </c>
      <c r="I102" s="2" t="s">
        <v>15</v>
      </c>
      <c r="J102" s="3">
        <f t="shared" si="14"/>
        <v>62000</v>
      </c>
    </row>
    <row r="103" spans="2:10" hidden="1" x14ac:dyDescent="0.2">
      <c r="B103" s="22">
        <v>200980</v>
      </c>
      <c r="C103" s="8"/>
      <c r="D103" s="79">
        <v>44915</v>
      </c>
      <c r="E103" s="3">
        <v>-4000</v>
      </c>
      <c r="F103" s="2" t="s">
        <v>2</v>
      </c>
      <c r="G103" s="2"/>
      <c r="H103" s="2" t="s">
        <v>90</v>
      </c>
      <c r="I103" s="2" t="s">
        <v>15</v>
      </c>
      <c r="J103" s="3">
        <f t="shared" si="14"/>
        <v>58000</v>
      </c>
    </row>
    <row r="104" spans="2:10" hidden="1" x14ac:dyDescent="0.2">
      <c r="B104" s="22">
        <v>200990</v>
      </c>
      <c r="C104" s="9"/>
      <c r="D104" s="87">
        <v>44915</v>
      </c>
      <c r="E104" s="3">
        <v>-58000</v>
      </c>
      <c r="F104" s="12" t="s">
        <v>3</v>
      </c>
      <c r="G104" s="12"/>
      <c r="H104" s="12" t="s">
        <v>89</v>
      </c>
      <c r="I104" s="2" t="s">
        <v>15</v>
      </c>
      <c r="J104" s="3">
        <f t="shared" si="14"/>
        <v>0</v>
      </c>
    </row>
    <row r="105" spans="2:10" hidden="1" x14ac:dyDescent="0.2">
      <c r="B105" s="22">
        <v>201000</v>
      </c>
      <c r="C105" s="8">
        <f>Table1[[#This Row],[Tarih]]</f>
        <v>44946</v>
      </c>
      <c r="D105" s="79">
        <v>44946</v>
      </c>
      <c r="E105" s="3">
        <v>27000</v>
      </c>
      <c r="F105" s="2" t="s">
        <v>0</v>
      </c>
      <c r="G105" s="12"/>
      <c r="H105" s="2" t="s">
        <v>88</v>
      </c>
      <c r="I105" s="2" t="s">
        <v>15</v>
      </c>
      <c r="J105" s="3">
        <f t="shared" si="14"/>
        <v>27000</v>
      </c>
    </row>
    <row r="106" spans="2:10" hidden="1" x14ac:dyDescent="0.2">
      <c r="B106" s="22">
        <v>201010</v>
      </c>
      <c r="C106" s="8"/>
      <c r="D106" s="79">
        <v>44946</v>
      </c>
      <c r="E106" s="3">
        <v>-4000</v>
      </c>
      <c r="F106" s="2" t="s">
        <v>2</v>
      </c>
      <c r="G106" s="2"/>
      <c r="H106" s="2" t="s">
        <v>90</v>
      </c>
      <c r="I106" s="2" t="s">
        <v>15</v>
      </c>
      <c r="J106" s="3">
        <f t="shared" ref="J106:J107" si="15">E106+J105</f>
        <v>23000</v>
      </c>
    </row>
    <row r="107" spans="2:10" hidden="1" x14ac:dyDescent="0.2">
      <c r="B107" s="22">
        <v>201020</v>
      </c>
      <c r="C107" s="8"/>
      <c r="D107" s="79">
        <v>44951</v>
      </c>
      <c r="E107" s="3">
        <v>-23000</v>
      </c>
      <c r="F107" s="12" t="s">
        <v>3</v>
      </c>
      <c r="G107" s="12"/>
      <c r="H107" s="12" t="str">
        <f>LEFT(Table1[[#This Row],[Aciklama]],5)</f>
        <v>Selim</v>
      </c>
      <c r="I107" s="2" t="s">
        <v>15</v>
      </c>
      <c r="J107" s="3">
        <f t="shared" si="15"/>
        <v>0</v>
      </c>
    </row>
    <row r="108" spans="2:10" hidden="1" x14ac:dyDescent="0.2">
      <c r="B108" s="22">
        <v>201030</v>
      </c>
      <c r="C108" s="8">
        <f>Table1[[#This Row],[Tarih]]</f>
        <v>44977</v>
      </c>
      <c r="D108" s="79">
        <v>44977</v>
      </c>
      <c r="E108" s="3">
        <v>27000</v>
      </c>
      <c r="F108" s="2" t="s">
        <v>0</v>
      </c>
      <c r="G108" s="2"/>
      <c r="H108" s="12" t="s">
        <v>88</v>
      </c>
      <c r="I108" s="2" t="s">
        <v>15</v>
      </c>
      <c r="J108" s="3">
        <f t="shared" ref="J108:J110" si="16">E108+J107</f>
        <v>27000</v>
      </c>
    </row>
    <row r="109" spans="2:10" hidden="1" x14ac:dyDescent="0.2">
      <c r="B109" s="22">
        <v>201040</v>
      </c>
      <c r="C109" s="2"/>
      <c r="D109" s="79">
        <v>44984</v>
      </c>
      <c r="E109" s="3">
        <v>-4000</v>
      </c>
      <c r="F109" s="2" t="s">
        <v>2</v>
      </c>
      <c r="G109" s="2"/>
      <c r="H109" s="12" t="s">
        <v>90</v>
      </c>
      <c r="I109" s="2" t="s">
        <v>15</v>
      </c>
      <c r="J109" s="3">
        <f t="shared" si="16"/>
        <v>23000</v>
      </c>
    </row>
    <row r="110" spans="2:10" hidden="1" x14ac:dyDescent="0.2">
      <c r="B110" s="22">
        <v>201050</v>
      </c>
      <c r="C110" s="2"/>
      <c r="D110" s="79">
        <v>44985</v>
      </c>
      <c r="E110" s="3">
        <v>-23000</v>
      </c>
      <c r="F110" s="12" t="s">
        <v>3</v>
      </c>
      <c r="G110" s="2"/>
      <c r="H110" s="12" t="s">
        <v>89</v>
      </c>
      <c r="I110" s="2" t="s">
        <v>15</v>
      </c>
      <c r="J110" s="3">
        <f t="shared" si="16"/>
        <v>0</v>
      </c>
    </row>
    <row r="111" spans="2:10" hidden="1" x14ac:dyDescent="0.2">
      <c r="B111" s="22">
        <v>201060</v>
      </c>
      <c r="C111" s="8">
        <f>Table1[[#This Row],[Tarih]]</f>
        <v>45005</v>
      </c>
      <c r="D111" s="79">
        <v>45005</v>
      </c>
      <c r="E111" s="3">
        <v>27000</v>
      </c>
      <c r="F111" s="2" t="s">
        <v>0</v>
      </c>
      <c r="G111" s="2"/>
      <c r="H111" s="12" t="s">
        <v>88</v>
      </c>
      <c r="I111" s="2" t="s">
        <v>15</v>
      </c>
      <c r="J111" s="3">
        <f t="shared" ref="J111:J113" si="17">E111+J110</f>
        <v>27000</v>
      </c>
    </row>
    <row r="112" spans="2:10" hidden="1" x14ac:dyDescent="0.2">
      <c r="B112" s="22">
        <v>201070</v>
      </c>
      <c r="C112" s="2"/>
      <c r="D112" s="79">
        <v>45009</v>
      </c>
      <c r="E112" s="3">
        <v>-4000</v>
      </c>
      <c r="F112" s="2" t="s">
        <v>2</v>
      </c>
      <c r="G112" s="2"/>
      <c r="H112" s="12" t="s">
        <v>90</v>
      </c>
      <c r="I112" s="2" t="s">
        <v>15</v>
      </c>
      <c r="J112" s="3">
        <f t="shared" si="17"/>
        <v>23000</v>
      </c>
    </row>
    <row r="113" spans="2:10" hidden="1" x14ac:dyDescent="0.2">
      <c r="B113" s="22">
        <v>201080</v>
      </c>
      <c r="C113" s="2"/>
      <c r="D113" s="79">
        <v>45013</v>
      </c>
      <c r="E113" s="3">
        <v>-23000</v>
      </c>
      <c r="F113" s="12" t="s">
        <v>3</v>
      </c>
      <c r="G113" s="2"/>
      <c r="H113" s="12" t="s">
        <v>89</v>
      </c>
      <c r="I113" s="2" t="s">
        <v>15</v>
      </c>
      <c r="J113" s="3">
        <f t="shared" si="17"/>
        <v>0</v>
      </c>
    </row>
    <row r="114" spans="2:10" hidden="1" x14ac:dyDescent="0.2">
      <c r="B114" s="22">
        <v>201090</v>
      </c>
      <c r="C114" s="8">
        <f>Table1[[#This Row],[Tarih]]</f>
        <v>45036</v>
      </c>
      <c r="D114" s="79">
        <v>45036</v>
      </c>
      <c r="E114" s="3">
        <v>27000</v>
      </c>
      <c r="F114" s="2" t="s">
        <v>0</v>
      </c>
      <c r="G114" s="2"/>
      <c r="H114" s="12" t="s">
        <v>88</v>
      </c>
      <c r="I114" s="2" t="s">
        <v>15</v>
      </c>
      <c r="J114" s="3">
        <f t="shared" ref="J114:J116" si="18">E114+J113</f>
        <v>27000</v>
      </c>
    </row>
    <row r="115" spans="2:10" hidden="1" x14ac:dyDescent="0.2">
      <c r="B115" s="22">
        <v>201100</v>
      </c>
      <c r="C115" s="2"/>
      <c r="D115" s="79">
        <v>45041</v>
      </c>
      <c r="E115" s="3">
        <v>-4000</v>
      </c>
      <c r="F115" s="2" t="s">
        <v>2</v>
      </c>
      <c r="G115" s="2"/>
      <c r="H115" s="12" t="s">
        <v>90</v>
      </c>
      <c r="I115" s="2" t="s">
        <v>15</v>
      </c>
      <c r="J115" s="3">
        <f t="shared" si="18"/>
        <v>23000</v>
      </c>
    </row>
    <row r="116" spans="2:10" hidden="1" x14ac:dyDescent="0.2">
      <c r="B116" s="22">
        <v>201110</v>
      </c>
      <c r="C116" s="2"/>
      <c r="D116" s="79">
        <v>45042</v>
      </c>
      <c r="E116" s="3">
        <v>-23000</v>
      </c>
      <c r="F116" s="12" t="s">
        <v>3</v>
      </c>
      <c r="G116" s="2"/>
      <c r="H116" s="12" t="s">
        <v>89</v>
      </c>
      <c r="I116" s="2" t="s">
        <v>15</v>
      </c>
      <c r="J116" s="3">
        <f t="shared" si="18"/>
        <v>0</v>
      </c>
    </row>
    <row r="117" spans="2:10" hidden="1" x14ac:dyDescent="0.2">
      <c r="B117" s="22">
        <v>201120</v>
      </c>
      <c r="C117" s="8">
        <f>Table1[[#This Row],[Tarih]]</f>
        <v>45066</v>
      </c>
      <c r="D117" s="79">
        <v>45066</v>
      </c>
      <c r="E117" s="3">
        <v>27000</v>
      </c>
      <c r="F117" s="2" t="s">
        <v>0</v>
      </c>
      <c r="G117" s="2"/>
      <c r="H117" s="12" t="s">
        <v>88</v>
      </c>
      <c r="I117" s="2" t="s">
        <v>15</v>
      </c>
      <c r="J117" s="3">
        <f t="shared" ref="J117:J119" si="19">E117+J116</f>
        <v>27000</v>
      </c>
    </row>
    <row r="118" spans="2:10" hidden="1" x14ac:dyDescent="0.2">
      <c r="B118" s="22">
        <v>201130</v>
      </c>
      <c r="C118" s="2"/>
      <c r="D118" s="79">
        <v>45069</v>
      </c>
      <c r="E118" s="3">
        <v>-4000</v>
      </c>
      <c r="F118" s="2" t="s">
        <v>2</v>
      </c>
      <c r="G118" s="2"/>
      <c r="H118" s="12" t="s">
        <v>90</v>
      </c>
      <c r="I118" s="2" t="s">
        <v>15</v>
      </c>
      <c r="J118" s="3">
        <f t="shared" si="19"/>
        <v>23000</v>
      </c>
    </row>
    <row r="119" spans="2:10" hidden="1" x14ac:dyDescent="0.2">
      <c r="B119" s="22">
        <v>201140</v>
      </c>
      <c r="C119" s="2"/>
      <c r="D119" s="79">
        <v>45077</v>
      </c>
      <c r="E119" s="3">
        <v>-23000</v>
      </c>
      <c r="F119" s="12" t="s">
        <v>3</v>
      </c>
      <c r="G119" s="2"/>
      <c r="H119" s="12" t="s">
        <v>89</v>
      </c>
      <c r="I119" s="2" t="s">
        <v>15</v>
      </c>
      <c r="J119" s="3">
        <f t="shared" si="19"/>
        <v>0</v>
      </c>
    </row>
    <row r="120" spans="2:10" hidden="1" x14ac:dyDescent="0.2">
      <c r="B120" s="22">
        <v>201150</v>
      </c>
      <c r="C120" s="8">
        <f>Table1[[#This Row],[Tarih]]</f>
        <v>45097</v>
      </c>
      <c r="D120" s="79">
        <v>45097</v>
      </c>
      <c r="E120" s="3">
        <v>27000</v>
      </c>
      <c r="F120" s="2" t="s">
        <v>0</v>
      </c>
      <c r="G120" s="2"/>
      <c r="H120" s="2" t="s">
        <v>88</v>
      </c>
      <c r="I120" s="2" t="s">
        <v>15</v>
      </c>
      <c r="J120" s="3">
        <f t="shared" ref="J120:J122" si="20">E120+J119</f>
        <v>27000</v>
      </c>
    </row>
    <row r="121" spans="2:10" hidden="1" x14ac:dyDescent="0.2">
      <c r="B121" s="22">
        <v>201160</v>
      </c>
      <c r="C121" s="2"/>
      <c r="D121" s="79">
        <v>45103</v>
      </c>
      <c r="E121" s="3">
        <v>-4000</v>
      </c>
      <c r="F121" s="2" t="s">
        <v>2</v>
      </c>
      <c r="G121" s="2"/>
      <c r="H121" s="12" t="s">
        <v>90</v>
      </c>
      <c r="I121" s="2" t="s">
        <v>15</v>
      </c>
      <c r="J121" s="3">
        <f t="shared" si="20"/>
        <v>23000</v>
      </c>
    </row>
    <row r="122" spans="2:10" hidden="1" x14ac:dyDescent="0.2">
      <c r="B122" s="22">
        <v>201170</v>
      </c>
      <c r="C122" s="2"/>
      <c r="D122" s="79">
        <v>45111</v>
      </c>
      <c r="E122" s="3">
        <v>-23000</v>
      </c>
      <c r="F122" s="12" t="s">
        <v>3</v>
      </c>
      <c r="G122" s="2"/>
      <c r="H122" s="12" t="s">
        <v>89</v>
      </c>
      <c r="I122" s="2" t="s">
        <v>15</v>
      </c>
      <c r="J122" s="3">
        <f t="shared" si="20"/>
        <v>0</v>
      </c>
    </row>
    <row r="123" spans="2:10" hidden="1" x14ac:dyDescent="0.2">
      <c r="B123" s="22">
        <v>201180</v>
      </c>
      <c r="C123" s="8">
        <f>Table1[[#This Row],[Tarih]]</f>
        <v>45127</v>
      </c>
      <c r="D123" s="79">
        <v>45127</v>
      </c>
      <c r="E123" s="3">
        <v>27000</v>
      </c>
      <c r="F123" s="2" t="s">
        <v>0</v>
      </c>
      <c r="G123" s="2"/>
      <c r="H123" s="2" t="s">
        <v>88</v>
      </c>
      <c r="I123" s="2" t="s">
        <v>15</v>
      </c>
      <c r="J123" s="3">
        <f t="shared" ref="J123:J125" si="21">E123+J122</f>
        <v>27000</v>
      </c>
    </row>
    <row r="124" spans="2:10" hidden="1" x14ac:dyDescent="0.2">
      <c r="B124" s="22">
        <v>201190</v>
      </c>
      <c r="C124" s="2"/>
      <c r="D124" s="79">
        <v>45135</v>
      </c>
      <c r="E124" s="3">
        <v>-4000</v>
      </c>
      <c r="F124" s="2" t="s">
        <v>2</v>
      </c>
      <c r="G124" s="2"/>
      <c r="H124" s="12" t="s">
        <v>90</v>
      </c>
      <c r="I124" s="2" t="s">
        <v>15</v>
      </c>
      <c r="J124" s="3">
        <f t="shared" si="21"/>
        <v>23000</v>
      </c>
    </row>
    <row r="125" spans="2:10" hidden="1" x14ac:dyDescent="0.2">
      <c r="B125" s="22">
        <v>201200</v>
      </c>
      <c r="C125" s="2"/>
      <c r="D125" s="79">
        <v>45153</v>
      </c>
      <c r="E125" s="3">
        <v>-23000</v>
      </c>
      <c r="F125" s="12" t="s">
        <v>3</v>
      </c>
      <c r="G125" s="2"/>
      <c r="H125" s="12" t="s">
        <v>89</v>
      </c>
      <c r="I125" s="2" t="s">
        <v>15</v>
      </c>
      <c r="J125" s="3">
        <f t="shared" si="21"/>
        <v>0</v>
      </c>
    </row>
    <row r="126" spans="2:10" hidden="1" x14ac:dyDescent="0.2">
      <c r="B126" s="22">
        <v>201210</v>
      </c>
      <c r="C126" s="8">
        <f>Table1[[#This Row],[Tarih]]</f>
        <v>45158</v>
      </c>
      <c r="D126" s="79">
        <v>45158</v>
      </c>
      <c r="E126" s="3">
        <v>27000</v>
      </c>
      <c r="F126" s="2" t="s">
        <v>0</v>
      </c>
      <c r="G126" s="2"/>
      <c r="H126" s="2" t="s">
        <v>88</v>
      </c>
      <c r="I126" s="2" t="s">
        <v>15</v>
      </c>
      <c r="J126" s="3">
        <f t="shared" ref="J126:J128" si="22">E126+J125</f>
        <v>27000</v>
      </c>
    </row>
    <row r="127" spans="2:10" hidden="1" x14ac:dyDescent="0.2">
      <c r="B127" s="22">
        <v>201220</v>
      </c>
      <c r="C127" s="2"/>
      <c r="D127" s="79">
        <v>45161</v>
      </c>
      <c r="E127" s="3">
        <v>-4000</v>
      </c>
      <c r="F127" s="2" t="s">
        <v>2</v>
      </c>
      <c r="G127" s="2"/>
      <c r="H127" s="12" t="s">
        <v>90</v>
      </c>
      <c r="I127" s="2" t="s">
        <v>15</v>
      </c>
      <c r="J127" s="3">
        <f t="shared" si="22"/>
        <v>23000</v>
      </c>
    </row>
    <row r="128" spans="2:10" hidden="1" x14ac:dyDescent="0.2">
      <c r="B128" s="22">
        <v>201230</v>
      </c>
      <c r="C128" s="2"/>
      <c r="D128" s="79">
        <v>45153</v>
      </c>
      <c r="E128" s="3">
        <v>-23000</v>
      </c>
      <c r="F128" s="12" t="s">
        <v>3</v>
      </c>
      <c r="G128" s="2"/>
      <c r="H128" s="12" t="s">
        <v>89</v>
      </c>
      <c r="I128" s="2" t="s">
        <v>15</v>
      </c>
      <c r="J128" s="3">
        <f t="shared" si="22"/>
        <v>0</v>
      </c>
    </row>
    <row r="129" spans="2:10" hidden="1" x14ac:dyDescent="0.2">
      <c r="B129" s="22">
        <v>201240</v>
      </c>
      <c r="C129" s="8">
        <f>Table1[[#This Row],[Tarih]]</f>
        <v>45189</v>
      </c>
      <c r="D129" s="79">
        <v>45189</v>
      </c>
      <c r="E129" s="3">
        <v>27000</v>
      </c>
      <c r="F129" s="2" t="s">
        <v>0</v>
      </c>
      <c r="G129" s="2"/>
      <c r="H129" s="2" t="s">
        <v>88</v>
      </c>
      <c r="I129" s="2" t="s">
        <v>15</v>
      </c>
      <c r="J129" s="3">
        <f t="shared" ref="J129:J131" si="23">E129+J128</f>
        <v>27000</v>
      </c>
    </row>
    <row r="130" spans="2:10" hidden="1" x14ac:dyDescent="0.2">
      <c r="B130" s="22">
        <v>201250</v>
      </c>
      <c r="C130" s="2"/>
      <c r="D130" s="79">
        <v>45202</v>
      </c>
      <c r="E130" s="3">
        <v>-4000</v>
      </c>
      <c r="F130" s="2" t="s">
        <v>2</v>
      </c>
      <c r="G130" s="2"/>
      <c r="H130" s="12" t="s">
        <v>90</v>
      </c>
      <c r="I130" s="2" t="s">
        <v>15</v>
      </c>
      <c r="J130" s="3">
        <f t="shared" si="23"/>
        <v>23000</v>
      </c>
    </row>
    <row r="131" spans="2:10" hidden="1" x14ac:dyDescent="0.2">
      <c r="B131" s="22">
        <v>201260</v>
      </c>
      <c r="C131" s="2"/>
      <c r="D131" s="79">
        <v>45202</v>
      </c>
      <c r="E131" s="3">
        <v>-23000</v>
      </c>
      <c r="F131" s="12" t="s">
        <v>3</v>
      </c>
      <c r="G131" s="2"/>
      <c r="H131" s="12" t="s">
        <v>89</v>
      </c>
      <c r="I131" s="2" t="s">
        <v>15</v>
      </c>
      <c r="J131" s="3">
        <f t="shared" si="23"/>
        <v>0</v>
      </c>
    </row>
    <row r="132" spans="2:10" hidden="1" x14ac:dyDescent="0.2">
      <c r="B132" s="22">
        <v>201270</v>
      </c>
      <c r="C132" s="8">
        <f>Table1[[#This Row],[Tarih]]</f>
        <v>45219</v>
      </c>
      <c r="D132" s="79">
        <v>45219</v>
      </c>
      <c r="E132" s="128">
        <v>1500</v>
      </c>
      <c r="F132" s="2" t="s">
        <v>0</v>
      </c>
      <c r="G132" s="2"/>
      <c r="H132" s="2" t="s">
        <v>88</v>
      </c>
      <c r="I132" s="2" t="s">
        <v>15</v>
      </c>
      <c r="J132" s="128">
        <f>E132+J131</f>
        <v>1500</v>
      </c>
    </row>
    <row r="133" spans="2:10" hidden="1" x14ac:dyDescent="0.2">
      <c r="B133" s="22">
        <v>201300</v>
      </c>
      <c r="C133" s="8">
        <f>Table1[[#This Row],[Tarih]]</f>
        <v>45250</v>
      </c>
      <c r="D133" s="79">
        <v>45250</v>
      </c>
      <c r="E133" s="128">
        <v>1500</v>
      </c>
      <c r="F133" s="2" t="s">
        <v>0</v>
      </c>
      <c r="G133" s="2"/>
      <c r="H133" s="2" t="s">
        <v>88</v>
      </c>
      <c r="I133" s="2" t="s">
        <v>15</v>
      </c>
      <c r="J133" s="128">
        <f t="shared" ref="J133:J176" si="24">E133+J132</f>
        <v>3000</v>
      </c>
    </row>
    <row r="134" spans="2:10" x14ac:dyDescent="0.2">
      <c r="B134" s="22">
        <v>201330</v>
      </c>
      <c r="C134" s="8">
        <f>Table1[[#This Row],[Tarih]]</f>
        <v>45280</v>
      </c>
      <c r="D134" s="79">
        <v>45280</v>
      </c>
      <c r="E134" s="128">
        <v>1500</v>
      </c>
      <c r="F134" s="2" t="s">
        <v>0</v>
      </c>
      <c r="G134" s="2"/>
      <c r="H134" s="2" t="s">
        <v>88</v>
      </c>
      <c r="I134" s="2" t="s">
        <v>15</v>
      </c>
      <c r="J134" s="128">
        <f t="shared" si="24"/>
        <v>4500</v>
      </c>
    </row>
    <row r="135" spans="2:10" x14ac:dyDescent="0.2">
      <c r="B135" s="22">
        <v>201360</v>
      </c>
      <c r="C135" s="8">
        <f>Table1[[#This Row],[Tarih]]</f>
        <v>45311</v>
      </c>
      <c r="D135" s="79">
        <v>45311</v>
      </c>
      <c r="E135" s="128">
        <v>1500</v>
      </c>
      <c r="F135" s="2" t="s">
        <v>0</v>
      </c>
      <c r="G135" s="2"/>
      <c r="H135" s="2" t="s">
        <v>88</v>
      </c>
      <c r="I135" s="2" t="s">
        <v>15</v>
      </c>
      <c r="J135" s="128">
        <f t="shared" si="24"/>
        <v>6000</v>
      </c>
    </row>
    <row r="136" spans="2:10" x14ac:dyDescent="0.2">
      <c r="B136" s="22">
        <v>201370</v>
      </c>
      <c r="C136" s="126"/>
      <c r="D136" s="126">
        <v>45320</v>
      </c>
      <c r="E136" s="128">
        <v>-3000</v>
      </c>
      <c r="F136" s="12" t="s">
        <v>180</v>
      </c>
      <c r="G136" s="2"/>
      <c r="H136" s="12" t="s">
        <v>89</v>
      </c>
      <c r="I136" s="2" t="s">
        <v>15</v>
      </c>
      <c r="J136" s="128">
        <f t="shared" si="24"/>
        <v>3000</v>
      </c>
    </row>
    <row r="137" spans="2:10" x14ac:dyDescent="0.2">
      <c r="B137" s="22">
        <v>201380</v>
      </c>
      <c r="C137" s="8"/>
      <c r="D137" s="126">
        <v>45331</v>
      </c>
      <c r="E137" s="128">
        <v>-3000</v>
      </c>
      <c r="F137" s="12" t="s">
        <v>203</v>
      </c>
      <c r="G137" s="2"/>
      <c r="H137" s="12" t="s">
        <v>89</v>
      </c>
      <c r="I137" s="2" t="s">
        <v>15</v>
      </c>
      <c r="J137" s="128">
        <f t="shared" ref="J137:J149" si="25">E137+J136</f>
        <v>0</v>
      </c>
    </row>
    <row r="138" spans="2:10" x14ac:dyDescent="0.2">
      <c r="B138" s="2">
        <v>201300</v>
      </c>
      <c r="C138" s="8">
        <f>Table1[[#This Row],[Tarih]]</f>
        <v>45342</v>
      </c>
      <c r="D138" s="126">
        <v>45342</v>
      </c>
      <c r="E138" s="128">
        <v>1500</v>
      </c>
      <c r="F138" s="2" t="s">
        <v>0</v>
      </c>
      <c r="G138" s="2"/>
      <c r="H138" s="2" t="s">
        <v>88</v>
      </c>
      <c r="I138" s="2" t="s">
        <v>15</v>
      </c>
      <c r="J138" s="128">
        <f t="shared" si="24"/>
        <v>1500</v>
      </c>
    </row>
    <row r="139" spans="2:10" x14ac:dyDescent="0.2">
      <c r="B139" s="2">
        <v>201330</v>
      </c>
      <c r="C139" s="8">
        <f>Table1[[#This Row],[Tarih]]</f>
        <v>45371</v>
      </c>
      <c r="D139" s="126">
        <v>45371</v>
      </c>
      <c r="E139" s="128">
        <v>1500</v>
      </c>
      <c r="F139" s="2" t="s">
        <v>0</v>
      </c>
      <c r="G139" s="2"/>
      <c r="H139" s="2" t="s">
        <v>88</v>
      </c>
      <c r="I139" s="2" t="s">
        <v>15</v>
      </c>
      <c r="J139" s="128">
        <f t="shared" si="25"/>
        <v>3000</v>
      </c>
    </row>
    <row r="140" spans="2:10" x14ac:dyDescent="0.2">
      <c r="B140" s="2">
        <v>201340</v>
      </c>
      <c r="C140" s="8"/>
      <c r="D140" s="126">
        <v>45377</v>
      </c>
      <c r="E140" s="128">
        <v>-3000</v>
      </c>
      <c r="F140" s="2" t="s">
        <v>210</v>
      </c>
      <c r="G140" s="2"/>
      <c r="H140" s="12" t="s">
        <v>89</v>
      </c>
      <c r="I140" s="2" t="s">
        <v>15</v>
      </c>
      <c r="J140" s="128">
        <f t="shared" si="24"/>
        <v>0</v>
      </c>
    </row>
    <row r="141" spans="2:10" x14ac:dyDescent="0.2">
      <c r="B141" s="2">
        <v>201360</v>
      </c>
      <c r="C141" s="8">
        <f>Table1[[#This Row],[Tarih]]</f>
        <v>45402</v>
      </c>
      <c r="D141" s="126">
        <v>45402</v>
      </c>
      <c r="E141" s="128">
        <v>1500</v>
      </c>
      <c r="F141" s="2" t="s">
        <v>0</v>
      </c>
      <c r="G141" s="2"/>
      <c r="H141" s="2" t="s">
        <v>88</v>
      </c>
      <c r="I141" s="2" t="s">
        <v>15</v>
      </c>
      <c r="J141" s="128">
        <f t="shared" si="25"/>
        <v>1500</v>
      </c>
    </row>
    <row r="142" spans="2:10" x14ac:dyDescent="0.2">
      <c r="B142" s="2">
        <v>201300</v>
      </c>
      <c r="C142" s="8">
        <f>Table1[[#This Row],[Tarih]]</f>
        <v>45432</v>
      </c>
      <c r="D142" s="126">
        <v>45432</v>
      </c>
      <c r="E142" s="128">
        <v>1500</v>
      </c>
      <c r="F142" s="2" t="s">
        <v>0</v>
      </c>
      <c r="G142" s="2"/>
      <c r="H142" s="2" t="s">
        <v>88</v>
      </c>
      <c r="I142" s="2" t="s">
        <v>15</v>
      </c>
      <c r="J142" s="128">
        <f t="shared" si="24"/>
        <v>3000</v>
      </c>
    </row>
    <row r="143" spans="2:10" x14ac:dyDescent="0.2">
      <c r="B143" s="2">
        <v>201320</v>
      </c>
      <c r="C143" s="8"/>
      <c r="D143" s="126">
        <v>45450</v>
      </c>
      <c r="E143" s="128">
        <v>-4500</v>
      </c>
      <c r="F143" s="2" t="s">
        <v>241</v>
      </c>
      <c r="G143" s="2"/>
      <c r="H143" s="12" t="s">
        <v>89</v>
      </c>
      <c r="I143" s="2" t="s">
        <v>15</v>
      </c>
      <c r="J143" s="128">
        <f t="shared" si="25"/>
        <v>-1500</v>
      </c>
    </row>
    <row r="144" spans="2:10" x14ac:dyDescent="0.2">
      <c r="B144" s="2">
        <v>201330</v>
      </c>
      <c r="C144" s="8">
        <f>Table1[[#This Row],[Tarih]]</f>
        <v>45463</v>
      </c>
      <c r="D144" s="126">
        <v>45463</v>
      </c>
      <c r="E144" s="128">
        <v>1500</v>
      </c>
      <c r="F144" s="2" t="s">
        <v>0</v>
      </c>
      <c r="G144" s="2"/>
      <c r="H144" s="2" t="s">
        <v>88</v>
      </c>
      <c r="I144" s="2" t="s">
        <v>15</v>
      </c>
      <c r="J144" s="128">
        <f t="shared" si="24"/>
        <v>0</v>
      </c>
    </row>
    <row r="145" spans="2:10" x14ac:dyDescent="0.2">
      <c r="B145" s="2">
        <v>201340</v>
      </c>
      <c r="C145" s="8">
        <f>Table1[[#This Row],[Tarih]]</f>
        <v>45493</v>
      </c>
      <c r="D145" s="126">
        <v>45493</v>
      </c>
      <c r="E145" s="128">
        <v>1500</v>
      </c>
      <c r="F145" s="2" t="s">
        <v>0</v>
      </c>
      <c r="G145" s="2"/>
      <c r="H145" s="2" t="s">
        <v>88</v>
      </c>
      <c r="I145" s="2" t="s">
        <v>15</v>
      </c>
      <c r="J145" s="128">
        <f t="shared" si="25"/>
        <v>1500</v>
      </c>
    </row>
    <row r="146" spans="2:10" x14ac:dyDescent="0.2">
      <c r="B146" s="2">
        <v>201350</v>
      </c>
      <c r="C146" s="8">
        <f>Table1[[#This Row],[Tarih]]</f>
        <v>45524</v>
      </c>
      <c r="D146" s="126">
        <v>45524</v>
      </c>
      <c r="E146" s="128">
        <v>1500</v>
      </c>
      <c r="F146" s="2" t="s">
        <v>0</v>
      </c>
      <c r="G146" s="2"/>
      <c r="H146" s="2" t="s">
        <v>88</v>
      </c>
      <c r="I146" s="2" t="s">
        <v>15</v>
      </c>
      <c r="J146" s="128">
        <f t="shared" si="24"/>
        <v>3000</v>
      </c>
    </row>
    <row r="147" spans="2:10" x14ac:dyDescent="0.2">
      <c r="B147" s="2">
        <v>201360</v>
      </c>
      <c r="C147" s="8">
        <f>Table1[[#This Row],[Tarih]]</f>
        <v>45555</v>
      </c>
      <c r="D147" s="126">
        <v>45555</v>
      </c>
      <c r="E147" s="128">
        <v>1500</v>
      </c>
      <c r="F147" s="2" t="s">
        <v>0</v>
      </c>
      <c r="G147" s="2"/>
      <c r="H147" s="2" t="s">
        <v>88</v>
      </c>
      <c r="I147" s="2" t="s">
        <v>15</v>
      </c>
      <c r="J147" s="128">
        <f t="shared" si="25"/>
        <v>4500</v>
      </c>
    </row>
    <row r="148" spans="2:10" ht="17" thickBot="1" x14ac:dyDescent="0.25">
      <c r="B148" s="10">
        <v>201370</v>
      </c>
      <c r="C148" s="33"/>
      <c r="D148" s="278">
        <v>45579</v>
      </c>
      <c r="E148" s="214">
        <v>-6000</v>
      </c>
      <c r="F148" s="10" t="s">
        <v>240</v>
      </c>
      <c r="G148" s="10"/>
      <c r="H148" s="10" t="s">
        <v>89</v>
      </c>
      <c r="I148" s="10" t="s">
        <v>15</v>
      </c>
      <c r="J148" s="214">
        <f t="shared" si="24"/>
        <v>-1500</v>
      </c>
    </row>
    <row r="149" spans="2:10" ht="17" thickTop="1" x14ac:dyDescent="0.2">
      <c r="B149" s="2">
        <v>201380</v>
      </c>
      <c r="C149" s="8">
        <f>Table1[[#This Row],[Tarih]]</f>
        <v>45585</v>
      </c>
      <c r="D149" s="126">
        <v>45585</v>
      </c>
      <c r="E149" s="128">
        <v>1650</v>
      </c>
      <c r="F149" s="2" t="s">
        <v>80</v>
      </c>
      <c r="G149" s="2"/>
      <c r="H149" s="2"/>
      <c r="I149" s="2"/>
      <c r="J149" s="128">
        <f t="shared" si="25"/>
        <v>150</v>
      </c>
    </row>
    <row r="150" spans="2:10" x14ac:dyDescent="0.2">
      <c r="B150" s="2">
        <v>201390</v>
      </c>
      <c r="C150" s="126"/>
      <c r="D150" s="126"/>
      <c r="E150" s="128"/>
      <c r="F150" s="2" t="s">
        <v>391</v>
      </c>
      <c r="G150" s="2"/>
      <c r="H150" s="2"/>
      <c r="I150" s="2"/>
      <c r="J150" s="128">
        <f t="shared" si="24"/>
        <v>150</v>
      </c>
    </row>
    <row r="151" spans="2:10" x14ac:dyDescent="0.2">
      <c r="B151" s="2">
        <v>201400</v>
      </c>
      <c r="C151" s="8">
        <f>Table1[[#This Row],[Tarih]]</f>
        <v>45616</v>
      </c>
      <c r="D151" s="126">
        <v>45616</v>
      </c>
      <c r="E151" s="128">
        <v>1650</v>
      </c>
      <c r="F151" s="2" t="s">
        <v>0</v>
      </c>
      <c r="G151" s="2"/>
      <c r="H151" s="2"/>
      <c r="I151" s="2"/>
      <c r="J151" s="128">
        <f t="shared" si="24"/>
        <v>1800</v>
      </c>
    </row>
    <row r="152" spans="2:10" x14ac:dyDescent="0.2">
      <c r="B152" s="2">
        <v>201410</v>
      </c>
      <c r="C152" s="126"/>
      <c r="D152" s="126"/>
      <c r="E152" s="128"/>
      <c r="F152" s="2" t="s">
        <v>397</v>
      </c>
      <c r="G152" s="2"/>
      <c r="H152" s="2"/>
      <c r="I152" s="2"/>
      <c r="J152" s="128">
        <f t="shared" si="24"/>
        <v>1800</v>
      </c>
    </row>
    <row r="153" spans="2:10" x14ac:dyDescent="0.2">
      <c r="B153" s="2">
        <v>201420</v>
      </c>
      <c r="C153" s="8">
        <f>Table1[[#This Row],[Tarih]]</f>
        <v>45646</v>
      </c>
      <c r="D153" s="126">
        <v>45646</v>
      </c>
      <c r="E153" s="128">
        <v>1650</v>
      </c>
      <c r="F153" s="2" t="s">
        <v>0</v>
      </c>
      <c r="G153" s="2"/>
      <c r="H153" s="2"/>
      <c r="I153" s="2"/>
      <c r="J153" s="128">
        <f t="shared" si="24"/>
        <v>3450</v>
      </c>
    </row>
    <row r="154" spans="2:10" x14ac:dyDescent="0.2">
      <c r="B154" s="2">
        <v>201430</v>
      </c>
      <c r="C154" s="8"/>
      <c r="D154" s="126"/>
      <c r="E154" s="128"/>
      <c r="F154" s="2" t="s">
        <v>397</v>
      </c>
      <c r="G154" s="2"/>
      <c r="H154" s="2"/>
      <c r="I154" s="2"/>
      <c r="J154" s="128">
        <f t="shared" si="24"/>
        <v>3450</v>
      </c>
    </row>
    <row r="155" spans="2:10" x14ac:dyDescent="0.2">
      <c r="B155" s="2">
        <v>201440</v>
      </c>
      <c r="C155" s="8">
        <f>Table1[[#This Row],[Tarih]]</f>
        <v>45677</v>
      </c>
      <c r="D155" s="126">
        <v>45677</v>
      </c>
      <c r="E155" s="128">
        <v>1650</v>
      </c>
      <c r="F155" s="2" t="s">
        <v>0</v>
      </c>
      <c r="G155" s="2"/>
      <c r="H155" s="2"/>
      <c r="I155" s="2"/>
      <c r="J155" s="128">
        <f t="shared" si="24"/>
        <v>5100</v>
      </c>
    </row>
    <row r="156" spans="2:10" x14ac:dyDescent="0.2">
      <c r="B156" s="2">
        <v>201450</v>
      </c>
      <c r="C156" s="8"/>
      <c r="D156" s="126">
        <v>45686</v>
      </c>
      <c r="E156" s="128">
        <v>-5100</v>
      </c>
      <c r="F156" s="2" t="s">
        <v>390</v>
      </c>
      <c r="G156" s="2"/>
      <c r="H156" s="12" t="s">
        <v>89</v>
      </c>
      <c r="I156" s="2" t="s">
        <v>15</v>
      </c>
      <c r="J156" s="128">
        <f t="shared" si="24"/>
        <v>0</v>
      </c>
    </row>
    <row r="157" spans="2:10" x14ac:dyDescent="0.2">
      <c r="B157" s="2">
        <v>201460</v>
      </c>
      <c r="C157" s="8"/>
      <c r="D157" s="126"/>
      <c r="E157" s="128"/>
      <c r="F157" s="2" t="s">
        <v>397</v>
      </c>
      <c r="G157" s="2"/>
      <c r="H157" s="2"/>
      <c r="I157" s="2"/>
      <c r="J157" s="128">
        <f t="shared" si="24"/>
        <v>0</v>
      </c>
    </row>
    <row r="158" spans="2:10" x14ac:dyDescent="0.2">
      <c r="B158" s="2">
        <v>201470</v>
      </c>
      <c r="C158" s="8">
        <f>Table1[[#This Row],[Tarih]]</f>
        <v>45708</v>
      </c>
      <c r="D158" s="126">
        <v>45708</v>
      </c>
      <c r="E158" s="128">
        <v>1650</v>
      </c>
      <c r="F158" s="2" t="s">
        <v>0</v>
      </c>
      <c r="G158" s="2"/>
      <c r="H158" s="2"/>
      <c r="I158" s="2"/>
      <c r="J158" s="128">
        <f t="shared" si="24"/>
        <v>1650</v>
      </c>
    </row>
    <row r="159" spans="2:10" x14ac:dyDescent="0.2">
      <c r="B159" s="2">
        <v>201480</v>
      </c>
      <c r="C159" s="8"/>
      <c r="D159" s="126"/>
      <c r="E159" s="128"/>
      <c r="F159" s="2" t="s">
        <v>402</v>
      </c>
      <c r="G159" s="2"/>
      <c r="H159" s="2"/>
      <c r="I159" s="2"/>
      <c r="J159" s="128">
        <f t="shared" si="24"/>
        <v>1650</v>
      </c>
    </row>
    <row r="160" spans="2:10" x14ac:dyDescent="0.2">
      <c r="B160" s="2">
        <v>201490</v>
      </c>
      <c r="C160" s="8"/>
      <c r="D160" s="126"/>
      <c r="E160" s="128"/>
      <c r="F160" s="2" t="s">
        <v>402</v>
      </c>
      <c r="G160" s="2"/>
      <c r="H160" s="2"/>
      <c r="I160" s="2"/>
      <c r="J160" s="128">
        <f t="shared" si="24"/>
        <v>1650</v>
      </c>
    </row>
    <row r="161" spans="2:10" x14ac:dyDescent="0.2">
      <c r="B161" s="2">
        <v>201500</v>
      </c>
      <c r="C161" s="8">
        <f>Table1[[#This Row],[Tarih]]</f>
        <v>45736</v>
      </c>
      <c r="D161" s="126">
        <v>45736</v>
      </c>
      <c r="E161" s="128">
        <v>1650</v>
      </c>
      <c r="F161" s="2" t="s">
        <v>0</v>
      </c>
      <c r="G161" s="2"/>
      <c r="H161" s="2"/>
      <c r="I161" s="2"/>
      <c r="J161" s="128">
        <f t="shared" si="24"/>
        <v>3300</v>
      </c>
    </row>
    <row r="162" spans="2:10" x14ac:dyDescent="0.2">
      <c r="B162" s="2">
        <v>201510</v>
      </c>
      <c r="C162" s="8"/>
      <c r="D162" s="126"/>
      <c r="E162" s="128"/>
      <c r="F162" s="2" t="s">
        <v>392</v>
      </c>
      <c r="G162" s="2"/>
      <c r="H162" s="2"/>
      <c r="I162" s="2"/>
      <c r="J162" s="128">
        <f t="shared" si="24"/>
        <v>3300</v>
      </c>
    </row>
    <row r="163" spans="2:10" x14ac:dyDescent="0.2">
      <c r="B163" s="2">
        <v>201520</v>
      </c>
      <c r="C163" s="8"/>
      <c r="D163" s="126">
        <v>45755</v>
      </c>
      <c r="E163" s="128">
        <v>-3300</v>
      </c>
      <c r="F163" s="2" t="s">
        <v>415</v>
      </c>
      <c r="G163" s="2"/>
      <c r="H163" s="2"/>
      <c r="I163" s="2"/>
      <c r="J163" s="128">
        <f t="shared" si="24"/>
        <v>0</v>
      </c>
    </row>
    <row r="164" spans="2:10" x14ac:dyDescent="0.2">
      <c r="B164" s="2">
        <v>201530</v>
      </c>
      <c r="C164" s="8">
        <f>Table1[[#This Row],[Tarih]]</f>
        <v>45767</v>
      </c>
      <c r="D164" s="126">
        <v>45767</v>
      </c>
      <c r="E164" s="128">
        <v>1650</v>
      </c>
      <c r="F164" s="2" t="s">
        <v>0</v>
      </c>
      <c r="G164" s="2"/>
      <c r="H164" s="2"/>
      <c r="I164" s="2"/>
      <c r="J164" s="128">
        <f t="shared" si="24"/>
        <v>1650</v>
      </c>
    </row>
    <row r="165" spans="2:10" x14ac:dyDescent="0.2">
      <c r="B165" s="2">
        <v>201540</v>
      </c>
      <c r="C165" s="8"/>
      <c r="D165" s="126"/>
      <c r="E165" s="128"/>
      <c r="F165" s="2" t="s">
        <v>392</v>
      </c>
      <c r="G165" s="2"/>
      <c r="H165" s="2"/>
      <c r="I165" s="2"/>
      <c r="J165" s="128">
        <f t="shared" si="24"/>
        <v>1650</v>
      </c>
    </row>
    <row r="166" spans="2:10" x14ac:dyDescent="0.2">
      <c r="B166" s="2">
        <v>201560</v>
      </c>
      <c r="C166" s="8">
        <f>Table1[[#This Row],[Tarih]]</f>
        <v>45797</v>
      </c>
      <c r="D166" s="126">
        <v>45797</v>
      </c>
      <c r="E166" s="128">
        <v>1650</v>
      </c>
      <c r="F166" s="2" t="s">
        <v>0</v>
      </c>
      <c r="G166" s="2"/>
      <c r="H166" s="2"/>
      <c r="I166" s="2"/>
      <c r="J166" s="128">
        <f t="shared" si="24"/>
        <v>3300</v>
      </c>
    </row>
    <row r="167" spans="2:10" s="283" customFormat="1" x14ac:dyDescent="0.2">
      <c r="B167" s="2">
        <v>201570</v>
      </c>
      <c r="C167" s="8"/>
      <c r="D167" s="126"/>
      <c r="E167" s="128"/>
      <c r="F167" s="2" t="s">
        <v>392</v>
      </c>
      <c r="G167" s="2"/>
      <c r="H167" s="2"/>
      <c r="I167" s="2"/>
      <c r="J167" s="128">
        <f t="shared" si="24"/>
        <v>3300</v>
      </c>
    </row>
    <row r="168" spans="2:10" s="283" customFormat="1" x14ac:dyDescent="0.2">
      <c r="B168" s="2">
        <v>201590</v>
      </c>
      <c r="C168" s="8">
        <f>Table1[[#This Row],[Tarih]]</f>
        <v>45828</v>
      </c>
      <c r="D168" s="126">
        <v>45828</v>
      </c>
      <c r="E168" s="128">
        <v>1650</v>
      </c>
      <c r="F168" s="2" t="s">
        <v>0</v>
      </c>
      <c r="G168" s="2"/>
      <c r="H168" s="2"/>
      <c r="I168" s="2"/>
      <c r="J168" s="128">
        <f t="shared" si="24"/>
        <v>4950</v>
      </c>
    </row>
    <row r="169" spans="2:10" s="283" customFormat="1" x14ac:dyDescent="0.2">
      <c r="B169" s="2">
        <v>201610</v>
      </c>
      <c r="C169" s="126"/>
      <c r="D169" s="126">
        <v>45833</v>
      </c>
      <c r="E169" s="128">
        <v>-4950</v>
      </c>
      <c r="F169" s="2" t="s">
        <v>416</v>
      </c>
      <c r="G169" s="2"/>
      <c r="H169" s="2"/>
      <c r="I169" s="2"/>
      <c r="J169" s="128">
        <f t="shared" si="24"/>
        <v>0</v>
      </c>
    </row>
    <row r="170" spans="2:10" s="283" customFormat="1" x14ac:dyDescent="0.2">
      <c r="B170" s="2">
        <v>201620</v>
      </c>
      <c r="C170" s="8">
        <f>Table1[[#This Row],[Tarih]]</f>
        <v>45858</v>
      </c>
      <c r="D170" s="126">
        <v>45858</v>
      </c>
      <c r="E170" s="128">
        <v>1650</v>
      </c>
      <c r="F170" s="2" t="s">
        <v>0</v>
      </c>
      <c r="G170" s="2"/>
      <c r="H170" s="2"/>
      <c r="I170" s="2"/>
      <c r="J170" s="128">
        <f t="shared" si="24"/>
        <v>1650</v>
      </c>
    </row>
    <row r="171" spans="2:10" s="283" customFormat="1" x14ac:dyDescent="0.2">
      <c r="B171" s="2">
        <v>201630</v>
      </c>
      <c r="C171" s="8"/>
      <c r="D171" s="126"/>
      <c r="E171" s="128"/>
      <c r="F171" s="2" t="s">
        <v>392</v>
      </c>
      <c r="G171" s="2"/>
      <c r="H171" s="2"/>
      <c r="I171" s="2"/>
      <c r="J171" s="128">
        <f t="shared" si="24"/>
        <v>1650</v>
      </c>
    </row>
    <row r="172" spans="2:10" s="283" customFormat="1" x14ac:dyDescent="0.2">
      <c r="B172" s="2">
        <v>201650</v>
      </c>
      <c r="C172" s="8">
        <f>Table1[[#This Row],[Tarih]]</f>
        <v>45889</v>
      </c>
      <c r="D172" s="126">
        <v>45889</v>
      </c>
      <c r="E172" s="128">
        <v>1650</v>
      </c>
      <c r="F172" s="2" t="s">
        <v>0</v>
      </c>
      <c r="G172" s="2"/>
      <c r="H172" s="2"/>
      <c r="I172" s="2"/>
      <c r="J172" s="128">
        <f t="shared" si="24"/>
        <v>3300</v>
      </c>
    </row>
    <row r="173" spans="2:10" s="283" customFormat="1" x14ac:dyDescent="0.2">
      <c r="B173" s="2">
        <v>201660</v>
      </c>
      <c r="C173" s="8"/>
      <c r="D173" s="126">
        <v>45945</v>
      </c>
      <c r="E173" s="128"/>
      <c r="F173" s="2" t="s">
        <v>392</v>
      </c>
      <c r="G173" s="2"/>
      <c r="H173" s="2"/>
      <c r="I173" s="2"/>
      <c r="J173" s="128">
        <f t="shared" si="24"/>
        <v>3300</v>
      </c>
    </row>
    <row r="174" spans="2:10" s="283" customFormat="1" x14ac:dyDescent="0.2">
      <c r="B174" s="2">
        <v>201680</v>
      </c>
      <c r="C174" s="8">
        <f>Table1[[#This Row],[Tarih]]</f>
        <v>45920</v>
      </c>
      <c r="D174" s="126">
        <v>45920</v>
      </c>
      <c r="E174" s="128">
        <v>1650</v>
      </c>
      <c r="F174" s="2" t="s">
        <v>0</v>
      </c>
      <c r="G174" s="2"/>
      <c r="H174" s="2"/>
      <c r="I174" s="2"/>
      <c r="J174" s="128">
        <f t="shared" si="24"/>
        <v>4950</v>
      </c>
    </row>
    <row r="175" spans="2:10" s="283" customFormat="1" x14ac:dyDescent="0.2">
      <c r="B175" s="2">
        <v>201690</v>
      </c>
      <c r="C175" s="8"/>
      <c r="D175" s="126">
        <v>45945</v>
      </c>
      <c r="E175" s="128">
        <v>-4950</v>
      </c>
      <c r="F175" s="2" t="s">
        <v>422</v>
      </c>
      <c r="G175" s="2"/>
      <c r="H175" s="2"/>
      <c r="I175" s="2"/>
      <c r="J175" s="128">
        <f t="shared" si="24"/>
        <v>0</v>
      </c>
    </row>
    <row r="176" spans="2:10" s="283" customFormat="1" x14ac:dyDescent="0.2">
      <c r="B176" s="2">
        <v>201710</v>
      </c>
      <c r="C176" s="8">
        <f>Table1[[#This Row],[Tarih]]</f>
        <v>45950</v>
      </c>
      <c r="D176" s="126">
        <v>45950</v>
      </c>
      <c r="E176" s="128">
        <f>E174*1.1</f>
        <v>1815.0000000000002</v>
      </c>
      <c r="F176" s="414" t="s">
        <v>80</v>
      </c>
      <c r="G176" s="2"/>
      <c r="H176" s="2"/>
      <c r="I176" s="2"/>
      <c r="J176" s="128">
        <f t="shared" si="24"/>
        <v>1815.0000000000002</v>
      </c>
    </row>
    <row r="177" spans="2:10" s="283" customFormat="1" x14ac:dyDescent="0.2">
      <c r="B177" s="2">
        <v>201720</v>
      </c>
      <c r="C177" s="8"/>
      <c r="D177" s="126"/>
      <c r="E177" s="128"/>
      <c r="F177" s="2" t="s">
        <v>392</v>
      </c>
      <c r="G177" s="2"/>
      <c r="H177" s="2"/>
      <c r="I177" s="2"/>
      <c r="J177" s="128">
        <f t="shared" ref="J177:J205" si="26">E177+J176</f>
        <v>1815.0000000000002</v>
      </c>
    </row>
    <row r="178" spans="2:10" s="283" customFormat="1" x14ac:dyDescent="0.2">
      <c r="B178" s="2">
        <v>201730</v>
      </c>
      <c r="C178" s="126"/>
      <c r="D178" s="126"/>
      <c r="E178" s="128"/>
      <c r="F178" s="2" t="s">
        <v>392</v>
      </c>
      <c r="G178" s="2"/>
      <c r="H178" s="2"/>
      <c r="I178" s="2"/>
      <c r="J178" s="128">
        <f t="shared" si="26"/>
        <v>1815.0000000000002</v>
      </c>
    </row>
    <row r="179" spans="2:10" s="283" customFormat="1" x14ac:dyDescent="0.2">
      <c r="B179" s="2">
        <v>201740</v>
      </c>
      <c r="C179" s="8">
        <f>Table1[[#This Row],[Tarih]]</f>
        <v>45981</v>
      </c>
      <c r="D179" s="126">
        <v>45981</v>
      </c>
      <c r="E179" s="128">
        <v>1815</v>
      </c>
      <c r="F179" s="2" t="s">
        <v>0</v>
      </c>
      <c r="G179" s="2"/>
      <c r="H179" s="2"/>
      <c r="I179" s="2"/>
      <c r="J179" s="128">
        <f t="shared" si="26"/>
        <v>3630</v>
      </c>
    </row>
    <row r="180" spans="2:10" s="283" customFormat="1" x14ac:dyDescent="0.2">
      <c r="B180" s="2">
        <v>201750</v>
      </c>
      <c r="C180" s="8"/>
      <c r="D180" s="126"/>
      <c r="E180" s="128"/>
      <c r="F180" s="2" t="s">
        <v>392</v>
      </c>
      <c r="G180" s="2"/>
      <c r="H180" s="2"/>
      <c r="I180" s="2"/>
      <c r="J180" s="128">
        <f t="shared" si="26"/>
        <v>3630</v>
      </c>
    </row>
    <row r="181" spans="2:10" s="283" customFormat="1" x14ac:dyDescent="0.2">
      <c r="B181" s="2">
        <v>201760</v>
      </c>
      <c r="C181" s="8"/>
      <c r="D181" s="126"/>
      <c r="E181" s="128"/>
      <c r="F181" s="2" t="s">
        <v>392</v>
      </c>
      <c r="G181" s="2"/>
      <c r="H181" s="2"/>
      <c r="I181" s="2"/>
      <c r="J181" s="128">
        <f t="shared" si="26"/>
        <v>3630</v>
      </c>
    </row>
    <row r="182" spans="2:10" s="283" customFormat="1" x14ac:dyDescent="0.2">
      <c r="B182" s="2">
        <v>201770</v>
      </c>
      <c r="C182" s="8">
        <f>Table1[[#This Row],[Tarih]]</f>
        <v>46011</v>
      </c>
      <c r="D182" s="126">
        <v>46011</v>
      </c>
      <c r="E182" s="128">
        <v>1815</v>
      </c>
      <c r="F182" s="2" t="s">
        <v>0</v>
      </c>
      <c r="G182" s="2"/>
      <c r="H182" s="2"/>
      <c r="I182" s="2"/>
      <c r="J182" s="128">
        <f t="shared" si="26"/>
        <v>5445</v>
      </c>
    </row>
    <row r="183" spans="2:10" s="283" customFormat="1" x14ac:dyDescent="0.2">
      <c r="B183" s="2">
        <v>201780</v>
      </c>
      <c r="C183" s="8"/>
      <c r="D183" s="126">
        <v>46021</v>
      </c>
      <c r="E183" s="128">
        <v>-4650</v>
      </c>
      <c r="F183" s="2" t="s">
        <v>430</v>
      </c>
      <c r="G183" s="2"/>
      <c r="H183" s="2"/>
      <c r="I183" s="2"/>
      <c r="J183" s="128">
        <f t="shared" si="26"/>
        <v>795</v>
      </c>
    </row>
    <row r="184" spans="2:10" s="283" customFormat="1" x14ac:dyDescent="0.2">
      <c r="B184" s="2">
        <v>201790</v>
      </c>
      <c r="C184" s="126"/>
      <c r="D184" s="126"/>
      <c r="E184" s="128"/>
      <c r="F184" s="2"/>
      <c r="G184" s="2"/>
      <c r="H184" s="2"/>
      <c r="I184" s="2"/>
      <c r="J184" s="128">
        <f t="shared" si="26"/>
        <v>795</v>
      </c>
    </row>
    <row r="185" spans="2:10" s="283" customFormat="1" x14ac:dyDescent="0.2">
      <c r="B185" s="2">
        <v>201800</v>
      </c>
      <c r="C185" s="8">
        <f>Table1[[#This Row],[Tarih]]</f>
        <v>46042</v>
      </c>
      <c r="D185" s="126">
        <v>46042</v>
      </c>
      <c r="E185" s="128">
        <v>1815</v>
      </c>
      <c r="F185" s="2" t="s">
        <v>0</v>
      </c>
      <c r="G185" s="2"/>
      <c r="H185" s="2"/>
      <c r="I185" s="2"/>
      <c r="J185" s="128">
        <f t="shared" si="26"/>
        <v>2610</v>
      </c>
    </row>
    <row r="186" spans="2:10" s="283" customFormat="1" x14ac:dyDescent="0.2">
      <c r="B186" s="2">
        <v>201810</v>
      </c>
      <c r="C186" s="8"/>
      <c r="D186" s="126"/>
      <c r="E186" s="128"/>
      <c r="F186" s="2"/>
      <c r="G186" s="2"/>
      <c r="H186" s="2"/>
      <c r="I186" s="2"/>
      <c r="J186" s="128">
        <f t="shared" si="26"/>
        <v>2610</v>
      </c>
    </row>
    <row r="187" spans="2:10" s="283" customFormat="1" x14ac:dyDescent="0.2">
      <c r="B187" s="2">
        <v>201820</v>
      </c>
      <c r="C187" s="8"/>
      <c r="D187" s="126"/>
      <c r="E187" s="128"/>
      <c r="F187" s="2"/>
      <c r="G187" s="2"/>
      <c r="H187" s="2"/>
      <c r="I187" s="2"/>
      <c r="J187" s="128">
        <f t="shared" si="26"/>
        <v>2610</v>
      </c>
    </row>
    <row r="188" spans="2:10" s="283" customFormat="1" x14ac:dyDescent="0.2">
      <c r="B188" s="2">
        <v>201830</v>
      </c>
      <c r="C188" s="8">
        <f>Table1[[#This Row],[Tarih]]</f>
        <v>46073</v>
      </c>
      <c r="D188" s="126">
        <v>46073</v>
      </c>
      <c r="E188" s="128">
        <v>1815</v>
      </c>
      <c r="F188" s="2" t="s">
        <v>0</v>
      </c>
      <c r="G188" s="2"/>
      <c r="H188" s="2"/>
      <c r="I188" s="2"/>
      <c r="J188" s="128">
        <f t="shared" si="26"/>
        <v>4425</v>
      </c>
    </row>
    <row r="189" spans="2:10" x14ac:dyDescent="0.2">
      <c r="B189" s="2">
        <v>201840</v>
      </c>
      <c r="C189" s="8"/>
      <c r="D189" s="126"/>
      <c r="E189" s="128"/>
      <c r="F189" s="2"/>
      <c r="G189" s="2"/>
      <c r="H189" s="2"/>
      <c r="I189" s="2"/>
      <c r="J189" s="128">
        <f t="shared" si="26"/>
        <v>4425</v>
      </c>
    </row>
    <row r="190" spans="2:10" x14ac:dyDescent="0.2">
      <c r="B190" s="2">
        <v>201850</v>
      </c>
      <c r="C190" s="126"/>
      <c r="D190" s="126">
        <v>46087</v>
      </c>
      <c r="E190" s="128">
        <v>-4425</v>
      </c>
      <c r="F190" s="2" t="s">
        <v>453</v>
      </c>
      <c r="G190" s="2"/>
      <c r="H190" s="2"/>
      <c r="I190" s="2"/>
      <c r="J190" s="128">
        <f t="shared" si="26"/>
        <v>0</v>
      </c>
    </row>
    <row r="191" spans="2:10" x14ac:dyDescent="0.2">
      <c r="B191" s="290">
        <v>201860</v>
      </c>
      <c r="C191" s="291">
        <f>Table1[[#This Row],[Tarih]]</f>
        <v>46101</v>
      </c>
      <c r="D191" s="292">
        <v>46101</v>
      </c>
      <c r="E191" s="282">
        <v>1815</v>
      </c>
      <c r="F191" s="290" t="s">
        <v>0</v>
      </c>
      <c r="G191" s="290"/>
      <c r="H191" s="290"/>
      <c r="I191" s="290"/>
      <c r="J191" s="293">
        <f t="shared" si="26"/>
        <v>1815</v>
      </c>
    </row>
    <row r="192" spans="2:10" x14ac:dyDescent="0.2">
      <c r="B192" s="279">
        <v>201870</v>
      </c>
      <c r="C192" s="280"/>
      <c r="D192" s="281"/>
      <c r="E192" s="282"/>
      <c r="F192" s="283"/>
      <c r="G192" s="283"/>
      <c r="H192" s="283"/>
      <c r="I192" s="283"/>
      <c r="J192" s="284">
        <f t="shared" si="26"/>
        <v>1815</v>
      </c>
    </row>
    <row r="193" spans="2:10" x14ac:dyDescent="0.2">
      <c r="B193" s="279">
        <v>201880</v>
      </c>
      <c r="C193" s="280"/>
      <c r="D193" s="281"/>
      <c r="E193" s="282"/>
      <c r="F193" s="283"/>
      <c r="G193" s="283"/>
      <c r="H193" s="283"/>
      <c r="I193" s="283"/>
      <c r="J193" s="284">
        <f t="shared" si="26"/>
        <v>1815</v>
      </c>
    </row>
    <row r="194" spans="2:10" x14ac:dyDescent="0.2">
      <c r="B194" s="279">
        <v>201890</v>
      </c>
      <c r="C194" s="280">
        <f>Table1[[#This Row],[Tarih]]</f>
        <v>46132</v>
      </c>
      <c r="D194" s="281">
        <v>46132</v>
      </c>
      <c r="E194" s="282">
        <v>1815</v>
      </c>
      <c r="F194" s="283" t="s">
        <v>0</v>
      </c>
      <c r="G194" s="283"/>
      <c r="H194" s="283"/>
      <c r="I194" s="283"/>
      <c r="J194" s="284">
        <f t="shared" si="26"/>
        <v>3630</v>
      </c>
    </row>
    <row r="195" spans="2:10" x14ac:dyDescent="0.2">
      <c r="B195" s="279">
        <v>201900</v>
      </c>
      <c r="C195" s="280"/>
      <c r="D195" s="281"/>
      <c r="E195" s="282"/>
      <c r="F195" s="283"/>
      <c r="G195" s="283"/>
      <c r="H195" s="283"/>
      <c r="I195" s="283"/>
      <c r="J195" s="284">
        <f t="shared" si="26"/>
        <v>3630</v>
      </c>
    </row>
    <row r="196" spans="2:10" x14ac:dyDescent="0.2">
      <c r="B196" s="279">
        <v>201910</v>
      </c>
      <c r="C196" s="281"/>
      <c r="D196" s="281"/>
      <c r="E196" s="282"/>
      <c r="F196" s="283"/>
      <c r="G196" s="283"/>
      <c r="H196" s="283"/>
      <c r="I196" s="283"/>
      <c r="J196" s="284">
        <f t="shared" si="26"/>
        <v>3630</v>
      </c>
    </row>
    <row r="197" spans="2:10" x14ac:dyDescent="0.2">
      <c r="B197" s="279">
        <v>201920</v>
      </c>
      <c r="C197" s="291">
        <f>Table1[[#This Row],[Tarih]]</f>
        <v>46162</v>
      </c>
      <c r="D197" s="292">
        <v>46162</v>
      </c>
      <c r="E197" s="282">
        <v>1815</v>
      </c>
      <c r="F197" s="290" t="s">
        <v>0</v>
      </c>
      <c r="G197" s="290"/>
      <c r="H197" s="290"/>
      <c r="I197" s="290"/>
      <c r="J197" s="293">
        <f t="shared" si="26"/>
        <v>5445</v>
      </c>
    </row>
    <row r="198" spans="2:10" x14ac:dyDescent="0.2">
      <c r="B198" s="279">
        <v>201930</v>
      </c>
      <c r="C198" s="280"/>
      <c r="D198" s="281"/>
      <c r="E198" s="282"/>
      <c r="F198" s="283"/>
      <c r="G198" s="283"/>
      <c r="H198" s="283"/>
      <c r="I198" s="283"/>
      <c r="J198" s="284">
        <f t="shared" si="26"/>
        <v>5445</v>
      </c>
    </row>
    <row r="199" spans="2:10" x14ac:dyDescent="0.2">
      <c r="B199" s="279">
        <v>201940</v>
      </c>
      <c r="C199" s="280"/>
      <c r="D199" s="281"/>
      <c r="E199" s="282"/>
      <c r="F199" s="283"/>
      <c r="G199" s="283"/>
      <c r="H199" s="283"/>
      <c r="I199" s="283"/>
      <c r="J199" s="284">
        <f t="shared" si="26"/>
        <v>5445</v>
      </c>
    </row>
    <row r="200" spans="2:10" x14ac:dyDescent="0.2">
      <c r="B200" s="279">
        <v>201950</v>
      </c>
      <c r="C200" s="280">
        <f>Table1[[#This Row],[Tarih]]</f>
        <v>46193</v>
      </c>
      <c r="D200" s="281">
        <v>46193</v>
      </c>
      <c r="E200" s="282">
        <v>1815</v>
      </c>
      <c r="F200" s="283" t="s">
        <v>0</v>
      </c>
      <c r="G200" s="283"/>
      <c r="H200" s="283"/>
      <c r="I200" s="283"/>
      <c r="J200" s="284">
        <f t="shared" si="26"/>
        <v>7260</v>
      </c>
    </row>
    <row r="201" spans="2:10" x14ac:dyDescent="0.2">
      <c r="B201" s="279">
        <v>201960</v>
      </c>
      <c r="C201" s="280"/>
      <c r="D201" s="281"/>
      <c r="E201" s="282"/>
      <c r="F201" s="283"/>
      <c r="G201" s="283"/>
      <c r="H201" s="283"/>
      <c r="I201" s="283"/>
      <c r="J201" s="284">
        <f t="shared" si="26"/>
        <v>7260</v>
      </c>
    </row>
    <row r="202" spans="2:10" x14ac:dyDescent="0.2">
      <c r="B202" s="279">
        <v>201970</v>
      </c>
      <c r="C202" s="281"/>
      <c r="D202" s="281"/>
      <c r="E202" s="282"/>
      <c r="F202" s="283"/>
      <c r="G202" s="283"/>
      <c r="H202" s="283"/>
      <c r="I202" s="283"/>
      <c r="J202" s="284">
        <f t="shared" si="26"/>
        <v>7260</v>
      </c>
    </row>
    <row r="203" spans="2:10" x14ac:dyDescent="0.2">
      <c r="B203" s="279">
        <v>201980</v>
      </c>
      <c r="C203" s="291">
        <f>Table1[[#This Row],[Tarih]]</f>
        <v>46223</v>
      </c>
      <c r="D203" s="292">
        <v>46223</v>
      </c>
      <c r="E203" s="282">
        <v>1815</v>
      </c>
      <c r="F203" s="290" t="s">
        <v>0</v>
      </c>
      <c r="G203" s="290"/>
      <c r="H203" s="290"/>
      <c r="I203" s="290"/>
      <c r="J203" s="293">
        <f t="shared" si="26"/>
        <v>9075</v>
      </c>
    </row>
    <row r="204" spans="2:10" x14ac:dyDescent="0.2">
      <c r="B204" s="279">
        <v>201990</v>
      </c>
      <c r="C204" s="280"/>
      <c r="D204" s="281"/>
      <c r="E204" s="282"/>
      <c r="F204" s="283"/>
      <c r="G204" s="283"/>
      <c r="H204" s="283"/>
      <c r="I204" s="283"/>
      <c r="J204" s="284">
        <f t="shared" si="26"/>
        <v>9075</v>
      </c>
    </row>
    <row r="205" spans="2:10" x14ac:dyDescent="0.2">
      <c r="B205" s="279">
        <v>202000</v>
      </c>
      <c r="C205" s="280"/>
      <c r="D205" s="281"/>
      <c r="E205" s="282"/>
      <c r="F205" s="283"/>
      <c r="G205" s="283"/>
      <c r="H205" s="283"/>
      <c r="I205" s="283"/>
      <c r="J205" s="284">
        <f t="shared" si="26"/>
        <v>9075</v>
      </c>
    </row>
    <row r="206" spans="2:10" x14ac:dyDescent="0.2">
      <c r="B206" s="279">
        <v>202010</v>
      </c>
      <c r="C206" s="280">
        <f>Table1[[#This Row],[Tarih]]</f>
        <v>46254</v>
      </c>
      <c r="D206" s="281">
        <v>46254</v>
      </c>
      <c r="E206" s="282">
        <v>1815</v>
      </c>
      <c r="F206" s="290" t="s">
        <v>0</v>
      </c>
      <c r="G206" s="290"/>
      <c r="H206" s="290"/>
      <c r="I206" s="290"/>
      <c r="J206" s="293">
        <f t="shared" ref="J206:J214" si="27">E206+J205</f>
        <v>10890</v>
      </c>
    </row>
    <row r="207" spans="2:10" x14ac:dyDescent="0.2">
      <c r="B207" s="279">
        <v>202020</v>
      </c>
      <c r="C207" s="280"/>
      <c r="D207" s="281"/>
      <c r="E207" s="282"/>
      <c r="F207" s="283"/>
      <c r="G207" s="283"/>
      <c r="H207" s="283"/>
      <c r="I207" s="283"/>
      <c r="J207" s="284">
        <f t="shared" si="27"/>
        <v>10890</v>
      </c>
    </row>
    <row r="208" spans="2:10" x14ac:dyDescent="0.2">
      <c r="B208" s="279">
        <v>202030</v>
      </c>
      <c r="C208" s="281"/>
      <c r="D208" s="281"/>
      <c r="E208" s="282"/>
      <c r="F208" s="283"/>
      <c r="G208" s="283"/>
      <c r="H208" s="283"/>
      <c r="I208" s="283"/>
      <c r="J208" s="284">
        <f t="shared" si="27"/>
        <v>10890</v>
      </c>
    </row>
    <row r="209" spans="2:10" x14ac:dyDescent="0.2">
      <c r="B209" s="279">
        <v>202040</v>
      </c>
      <c r="C209" s="291">
        <f>Table1[[#This Row],[Tarih]]</f>
        <v>46285</v>
      </c>
      <c r="D209" s="292">
        <v>46285</v>
      </c>
      <c r="E209" s="282">
        <v>1815</v>
      </c>
      <c r="F209" s="285" t="s">
        <v>0</v>
      </c>
      <c r="G209" s="285"/>
      <c r="H209" s="285"/>
      <c r="I209" s="285"/>
      <c r="J209" s="284">
        <f t="shared" si="27"/>
        <v>12705</v>
      </c>
    </row>
    <row r="210" spans="2:10" x14ac:dyDescent="0.2">
      <c r="B210" s="279">
        <v>202050</v>
      </c>
      <c r="C210" s="280"/>
      <c r="D210" s="281"/>
      <c r="E210" s="284"/>
      <c r="F210" s="285"/>
      <c r="G210" s="285"/>
      <c r="H210" s="285"/>
      <c r="I210" s="285"/>
      <c r="J210" s="284">
        <f t="shared" si="27"/>
        <v>12705</v>
      </c>
    </row>
    <row r="211" spans="2:10" ht="17" thickBot="1" x14ac:dyDescent="0.25">
      <c r="B211" s="286">
        <v>202060</v>
      </c>
      <c r="C211" s="287"/>
      <c r="D211" s="288"/>
      <c r="E211" s="289"/>
      <c r="F211" s="295"/>
      <c r="G211" s="295"/>
      <c r="H211" s="295"/>
      <c r="I211" s="295"/>
      <c r="J211" s="289">
        <f t="shared" si="27"/>
        <v>12705</v>
      </c>
    </row>
    <row r="212" spans="2:10" ht="17" thickTop="1" x14ac:dyDescent="0.2">
      <c r="B212" s="279">
        <v>202070</v>
      </c>
      <c r="C212" s="280">
        <f>Table1[[#This Row],[Tarih]]</f>
        <v>46315</v>
      </c>
      <c r="D212" s="281">
        <v>46315</v>
      </c>
      <c r="E212" s="282">
        <v>1815</v>
      </c>
      <c r="F212" s="294" t="s">
        <v>80</v>
      </c>
      <c r="G212" s="285"/>
      <c r="H212" s="285"/>
      <c r="I212" s="285"/>
      <c r="J212" s="284">
        <f t="shared" si="27"/>
        <v>14520</v>
      </c>
    </row>
    <row r="213" spans="2:10" x14ac:dyDescent="0.2">
      <c r="B213" s="279">
        <v>202080</v>
      </c>
      <c r="C213" s="280"/>
      <c r="D213" s="281"/>
      <c r="E213" s="284"/>
      <c r="F213" s="285"/>
      <c r="G213" s="285"/>
      <c r="H213" s="285"/>
      <c r="I213" s="285"/>
      <c r="J213" s="284">
        <f t="shared" si="27"/>
        <v>14520</v>
      </c>
    </row>
    <row r="214" spans="2:10" x14ac:dyDescent="0.2">
      <c r="B214" s="279">
        <v>202090</v>
      </c>
      <c r="C214" s="281"/>
      <c r="D214" s="281"/>
      <c r="E214" s="284"/>
      <c r="F214" s="285"/>
      <c r="G214" s="285"/>
      <c r="H214" s="285"/>
      <c r="I214" s="285"/>
      <c r="J214" s="284">
        <f t="shared" si="27"/>
        <v>14520</v>
      </c>
    </row>
  </sheetData>
  <mergeCells count="1">
    <mergeCell ref="B1:C1"/>
  </mergeCells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962C8-9B7B-A643-B75B-F11E8A6A21B1}">
  <sheetPr>
    <tabColor rgb="FFFF0000"/>
  </sheetPr>
  <dimension ref="A1:J200"/>
  <sheetViews>
    <sheetView topLeftCell="E159" zoomScale="134" zoomScaleNormal="110" workbookViewId="0">
      <selection activeCell="J182" sqref="J182"/>
    </sheetView>
  </sheetViews>
  <sheetFormatPr baseColWidth="10" defaultRowHeight="16" x14ac:dyDescent="0.2"/>
  <cols>
    <col min="2" max="2" width="10.6640625" bestFit="1" customWidth="1"/>
    <col min="3" max="3" width="11.83203125" bestFit="1" customWidth="1"/>
    <col min="4" max="4" width="15.1640625" bestFit="1" customWidth="1"/>
    <col min="5" max="5" width="18" customWidth="1"/>
    <col min="6" max="6" width="31.1640625" bestFit="1" customWidth="1"/>
    <col min="7" max="7" width="57" bestFit="1" customWidth="1"/>
    <col min="8" max="8" width="18.5" bestFit="1" customWidth="1"/>
    <col min="9" max="9" width="21" bestFit="1" customWidth="1"/>
    <col min="10" max="10" width="18" bestFit="1" customWidth="1"/>
  </cols>
  <sheetData>
    <row r="1" spans="1:10" ht="21" thickBot="1" x14ac:dyDescent="0.3">
      <c r="A1" t="s">
        <v>18</v>
      </c>
      <c r="B1" s="590"/>
      <c r="C1" s="590"/>
    </row>
    <row r="2" spans="1:10" ht="17" thickTop="1" x14ac:dyDescent="0.2">
      <c r="B2" s="1"/>
      <c r="D2" s="1" t="s">
        <v>14</v>
      </c>
      <c r="E2" s="1" t="s">
        <v>21</v>
      </c>
      <c r="F2" s="1"/>
    </row>
    <row r="3" spans="1:10" x14ac:dyDescent="0.2">
      <c r="B3" s="1"/>
    </row>
    <row r="4" spans="1:10" x14ac:dyDescent="0.2">
      <c r="B4" s="14" t="s">
        <v>30</v>
      </c>
      <c r="C4" s="1" t="s">
        <v>6</v>
      </c>
      <c r="D4" s="1" t="s">
        <v>7</v>
      </c>
      <c r="E4" s="1" t="s">
        <v>8</v>
      </c>
      <c r="F4" s="1" t="s">
        <v>9</v>
      </c>
      <c r="G4" s="19" t="s">
        <v>25</v>
      </c>
      <c r="H4" s="19" t="s">
        <v>91</v>
      </c>
      <c r="I4" s="1" t="s">
        <v>18</v>
      </c>
      <c r="J4" s="1" t="s">
        <v>140</v>
      </c>
    </row>
    <row r="5" spans="1:10" x14ac:dyDescent="0.2">
      <c r="B5" s="22">
        <v>300000</v>
      </c>
      <c r="C5" s="9"/>
      <c r="D5" s="79">
        <v>44313</v>
      </c>
      <c r="E5" s="3">
        <v>0</v>
      </c>
      <c r="F5" s="2" t="s">
        <v>62</v>
      </c>
      <c r="G5" s="2" t="s">
        <v>63</v>
      </c>
      <c r="H5" s="2" t="s">
        <v>88</v>
      </c>
      <c r="I5" s="2" t="s">
        <v>58</v>
      </c>
      <c r="J5" s="128">
        <f>E5</f>
        <v>0</v>
      </c>
    </row>
    <row r="6" spans="1:10" x14ac:dyDescent="0.2">
      <c r="B6" s="42">
        <f>B5+10</f>
        <v>300010</v>
      </c>
      <c r="C6" s="43"/>
      <c r="D6" s="80">
        <v>44313</v>
      </c>
      <c r="E6" s="44">
        <v>-13000</v>
      </c>
      <c r="F6" s="45" t="s">
        <v>3</v>
      </c>
      <c r="G6" s="45" t="s">
        <v>64</v>
      </c>
      <c r="H6" s="2" t="s">
        <v>89</v>
      </c>
      <c r="I6" s="2" t="s">
        <v>58</v>
      </c>
      <c r="J6" s="296"/>
    </row>
    <row r="7" spans="1:10" x14ac:dyDescent="0.2">
      <c r="B7" s="22">
        <f t="shared" ref="B7:B63" si="0">B6+10</f>
        <v>300020</v>
      </c>
      <c r="C7" s="9"/>
      <c r="D7" s="79">
        <v>44313</v>
      </c>
      <c r="E7" s="3">
        <f>-26000+8000</f>
        <v>-18000</v>
      </c>
      <c r="F7" s="2" t="s">
        <v>3</v>
      </c>
      <c r="G7" s="2" t="s">
        <v>65</v>
      </c>
      <c r="H7" s="2" t="s">
        <v>89</v>
      </c>
      <c r="I7" s="2" t="s">
        <v>58</v>
      </c>
      <c r="J7" s="128">
        <f>E7</f>
        <v>-18000</v>
      </c>
    </row>
    <row r="8" spans="1:10" ht="17" x14ac:dyDescent="0.2">
      <c r="B8" s="22">
        <f t="shared" si="0"/>
        <v>300030</v>
      </c>
      <c r="C8" s="9"/>
      <c r="D8" s="79">
        <v>44313</v>
      </c>
      <c r="E8" s="7">
        <v>-8000</v>
      </c>
      <c r="F8" s="12" t="s">
        <v>23</v>
      </c>
      <c r="G8" s="20" t="s">
        <v>66</v>
      </c>
      <c r="H8" s="2" t="s">
        <v>90</v>
      </c>
      <c r="I8" s="2" t="s">
        <v>58</v>
      </c>
      <c r="J8" s="128">
        <f>Table1512[[#This Row],[Miktar]]+J7</f>
        <v>-26000</v>
      </c>
    </row>
    <row r="9" spans="1:10" x14ac:dyDescent="0.2">
      <c r="B9" s="22">
        <f t="shared" si="0"/>
        <v>300040</v>
      </c>
      <c r="C9" s="9">
        <f>D9</f>
        <v>44331</v>
      </c>
      <c r="D9" s="79">
        <v>44331</v>
      </c>
      <c r="E9" s="3">
        <v>13000</v>
      </c>
      <c r="F9" s="2" t="s">
        <v>0</v>
      </c>
      <c r="G9" s="2"/>
      <c r="H9" s="2" t="s">
        <v>88</v>
      </c>
      <c r="I9" s="2" t="s">
        <v>58</v>
      </c>
      <c r="J9" s="128">
        <f>Table1512[[#This Row],[Miktar]]+J8</f>
        <v>-13000</v>
      </c>
    </row>
    <row r="10" spans="1:10" x14ac:dyDescent="0.2">
      <c r="B10" s="22">
        <f t="shared" si="0"/>
        <v>300050</v>
      </c>
      <c r="C10" s="2"/>
      <c r="D10" s="79"/>
      <c r="E10" s="3">
        <v>0</v>
      </c>
      <c r="F10" s="2" t="s">
        <v>3</v>
      </c>
      <c r="G10" s="2"/>
      <c r="H10" s="2" t="s">
        <v>89</v>
      </c>
      <c r="I10" s="2" t="s">
        <v>58</v>
      </c>
      <c r="J10" s="128">
        <f>Table1512[[#This Row],[Miktar]]+J9</f>
        <v>-13000</v>
      </c>
    </row>
    <row r="11" spans="1:10" x14ac:dyDescent="0.2">
      <c r="B11" s="22">
        <f t="shared" si="0"/>
        <v>300060</v>
      </c>
      <c r="C11" s="2"/>
      <c r="D11" s="79"/>
      <c r="E11" s="3">
        <v>0</v>
      </c>
      <c r="F11" s="2" t="s">
        <v>2</v>
      </c>
      <c r="G11" s="2"/>
      <c r="H11" s="2" t="s">
        <v>90</v>
      </c>
      <c r="I11" s="2" t="s">
        <v>58</v>
      </c>
      <c r="J11" s="128">
        <f>Table1512[[#This Row],[Miktar]]+J10</f>
        <v>-13000</v>
      </c>
    </row>
    <row r="12" spans="1:10" x14ac:dyDescent="0.2">
      <c r="B12" s="22">
        <f t="shared" si="0"/>
        <v>300070</v>
      </c>
      <c r="C12" s="9">
        <f>D12</f>
        <v>44362</v>
      </c>
      <c r="D12" s="79">
        <v>44362</v>
      </c>
      <c r="E12" s="3">
        <v>13000</v>
      </c>
      <c r="F12" s="2" t="s">
        <v>0</v>
      </c>
      <c r="G12" s="2"/>
      <c r="H12" s="2" t="s">
        <v>88</v>
      </c>
      <c r="I12" s="2" t="s">
        <v>58</v>
      </c>
      <c r="J12" s="128">
        <f>Table1512[[#This Row],[Miktar]]+J11</f>
        <v>0</v>
      </c>
    </row>
    <row r="13" spans="1:10" x14ac:dyDescent="0.2">
      <c r="B13" s="22">
        <f t="shared" si="0"/>
        <v>300080</v>
      </c>
      <c r="C13" s="2"/>
      <c r="D13" s="79"/>
      <c r="E13" s="3">
        <v>0</v>
      </c>
      <c r="F13" s="2" t="s">
        <v>3</v>
      </c>
      <c r="G13" s="2"/>
      <c r="H13" s="2" t="s">
        <v>89</v>
      </c>
      <c r="I13" s="2" t="s">
        <v>58</v>
      </c>
      <c r="J13" s="128">
        <f>Table1512[[#This Row],[Miktar]]+J12</f>
        <v>0</v>
      </c>
    </row>
    <row r="14" spans="1:10" x14ac:dyDescent="0.2">
      <c r="B14" s="22">
        <f t="shared" si="0"/>
        <v>300090</v>
      </c>
      <c r="C14" s="2"/>
      <c r="D14" s="79"/>
      <c r="E14" s="3">
        <v>0</v>
      </c>
      <c r="F14" s="2" t="s">
        <v>2</v>
      </c>
      <c r="G14" s="2"/>
      <c r="H14" s="2" t="s">
        <v>90</v>
      </c>
      <c r="I14" s="2" t="s">
        <v>58</v>
      </c>
      <c r="J14" s="128">
        <f>Table1512[[#This Row],[Miktar]]+J13</f>
        <v>0</v>
      </c>
    </row>
    <row r="15" spans="1:10" x14ac:dyDescent="0.2">
      <c r="B15" s="22">
        <f t="shared" si="0"/>
        <v>300100</v>
      </c>
      <c r="C15" s="9">
        <f t="shared" ref="C15" si="1">D15</f>
        <v>44392</v>
      </c>
      <c r="D15" s="79">
        <v>44392</v>
      </c>
      <c r="E15" s="3">
        <v>13000</v>
      </c>
      <c r="F15" s="2" t="s">
        <v>0</v>
      </c>
      <c r="G15" s="2"/>
      <c r="H15" s="2" t="s">
        <v>88</v>
      </c>
      <c r="I15" s="2" t="s">
        <v>58</v>
      </c>
      <c r="J15" s="128">
        <f>Table1512[[#This Row],[Miktar]]+J14</f>
        <v>13000</v>
      </c>
    </row>
    <row r="16" spans="1:10" x14ac:dyDescent="0.2">
      <c r="B16" s="22">
        <f>B14+10</f>
        <v>300100</v>
      </c>
      <c r="C16" s="2"/>
      <c r="D16" s="79">
        <v>44413</v>
      </c>
      <c r="E16" s="3">
        <v>-4000</v>
      </c>
      <c r="F16" s="2" t="s">
        <v>2</v>
      </c>
      <c r="G16" s="2"/>
      <c r="H16" s="2" t="s">
        <v>90</v>
      </c>
      <c r="I16" s="2" t="s">
        <v>58</v>
      </c>
      <c r="J16" s="128">
        <f>Table1512[[#This Row],[Miktar]]+J15</f>
        <v>9000</v>
      </c>
    </row>
    <row r="17" spans="2:10" x14ac:dyDescent="0.2">
      <c r="B17" s="22">
        <f t="shared" si="0"/>
        <v>300110</v>
      </c>
      <c r="C17" s="2"/>
      <c r="D17" s="79">
        <v>44414</v>
      </c>
      <c r="E17" s="3">
        <v>-9000</v>
      </c>
      <c r="F17" s="2" t="s">
        <v>3</v>
      </c>
      <c r="G17" s="2"/>
      <c r="H17" s="2" t="s">
        <v>89</v>
      </c>
      <c r="I17" s="2" t="s">
        <v>58</v>
      </c>
      <c r="J17" s="128">
        <f>Table1512[[#This Row],[Miktar]]+J16</f>
        <v>0</v>
      </c>
    </row>
    <row r="18" spans="2:10" ht="17" thickBot="1" x14ac:dyDescent="0.25">
      <c r="B18" s="269">
        <f t="shared" si="0"/>
        <v>300120</v>
      </c>
      <c r="C18" s="270">
        <f t="shared" ref="C18" si="2">D18</f>
        <v>44423</v>
      </c>
      <c r="D18" s="271">
        <v>44423</v>
      </c>
      <c r="E18" s="272">
        <v>13000</v>
      </c>
      <c r="F18" s="273" t="s">
        <v>0</v>
      </c>
      <c r="G18" s="273"/>
      <c r="H18" s="10" t="s">
        <v>88</v>
      </c>
      <c r="I18" s="273" t="s">
        <v>58</v>
      </c>
      <c r="J18" s="297">
        <f>Table1512[[#This Row],[Miktar]]+J17</f>
        <v>13000</v>
      </c>
    </row>
    <row r="19" spans="2:10" ht="17" thickTop="1" x14ac:dyDescent="0.2">
      <c r="B19" s="22">
        <v>301000</v>
      </c>
      <c r="C19" s="9"/>
      <c r="D19" s="79">
        <v>44467</v>
      </c>
      <c r="E19" s="3">
        <v>0</v>
      </c>
      <c r="F19" s="2" t="s">
        <v>62</v>
      </c>
      <c r="G19" s="2" t="s">
        <v>87</v>
      </c>
      <c r="H19" s="2" t="s">
        <v>88</v>
      </c>
      <c r="I19" s="2" t="s">
        <v>86</v>
      </c>
      <c r="J19" s="128">
        <f>E19</f>
        <v>0</v>
      </c>
    </row>
    <row r="20" spans="2:10" x14ac:dyDescent="0.2">
      <c r="B20" s="42">
        <f>B19+10</f>
        <v>301010</v>
      </c>
      <c r="C20" s="43"/>
      <c r="D20" s="79">
        <v>44467</v>
      </c>
      <c r="E20" s="44">
        <v>-13000</v>
      </c>
      <c r="F20" s="45" t="s">
        <v>3</v>
      </c>
      <c r="G20" s="45" t="s">
        <v>64</v>
      </c>
      <c r="H20" s="2" t="s">
        <v>89</v>
      </c>
      <c r="I20" s="2" t="s">
        <v>86</v>
      </c>
      <c r="J20" s="296"/>
    </row>
    <row r="21" spans="2:10" x14ac:dyDescent="0.2">
      <c r="B21" s="22">
        <f>B20+10</f>
        <v>301020</v>
      </c>
      <c r="C21" s="9"/>
      <c r="D21" s="79">
        <v>44467</v>
      </c>
      <c r="E21" s="3">
        <v>-18000</v>
      </c>
      <c r="F21" s="2" t="s">
        <v>3</v>
      </c>
      <c r="G21" s="2" t="s">
        <v>85</v>
      </c>
      <c r="H21" s="2" t="s">
        <v>89</v>
      </c>
      <c r="I21" s="2" t="s">
        <v>86</v>
      </c>
      <c r="J21" s="128">
        <f>E21</f>
        <v>-18000</v>
      </c>
    </row>
    <row r="22" spans="2:10" ht="17" x14ac:dyDescent="0.2">
      <c r="B22" s="22">
        <f t="shared" ref="B22" si="3">B21+10</f>
        <v>301030</v>
      </c>
      <c r="C22" s="9"/>
      <c r="D22" s="79">
        <v>44467</v>
      </c>
      <c r="E22" s="7">
        <v>-8000</v>
      </c>
      <c r="F22" s="12" t="s">
        <v>23</v>
      </c>
      <c r="G22" s="20" t="s">
        <v>66</v>
      </c>
      <c r="H22" s="2" t="s">
        <v>90</v>
      </c>
      <c r="I22" s="2" t="s">
        <v>86</v>
      </c>
      <c r="J22" s="128">
        <f>Table1512[[#This Row],[Miktar]]+J21</f>
        <v>-26000</v>
      </c>
    </row>
    <row r="23" spans="2:10" x14ac:dyDescent="0.2">
      <c r="B23" s="22">
        <f t="shared" ref="B23" si="4">B22+10</f>
        <v>301040</v>
      </c>
      <c r="C23" s="9">
        <f>D23</f>
        <v>44470</v>
      </c>
      <c r="D23" s="79">
        <v>44470</v>
      </c>
      <c r="E23" s="3">
        <v>13000</v>
      </c>
      <c r="F23" s="2" t="s">
        <v>0</v>
      </c>
      <c r="G23" s="2"/>
      <c r="H23" s="2" t="s">
        <v>88</v>
      </c>
      <c r="I23" s="2" t="s">
        <v>86</v>
      </c>
      <c r="J23" s="128">
        <f>Table1512[[#This Row],[Miktar]]+J22</f>
        <v>-13000</v>
      </c>
    </row>
    <row r="24" spans="2:10" x14ac:dyDescent="0.2">
      <c r="B24" s="22">
        <f t="shared" si="0"/>
        <v>301050</v>
      </c>
      <c r="C24" s="9">
        <f>D24</f>
        <v>44501</v>
      </c>
      <c r="D24" s="79">
        <v>44501</v>
      </c>
      <c r="E24" s="3">
        <v>13000</v>
      </c>
      <c r="F24" s="2" t="s">
        <v>0</v>
      </c>
      <c r="G24" s="2"/>
      <c r="H24" s="2" t="s">
        <v>88</v>
      </c>
      <c r="I24" s="2" t="s">
        <v>86</v>
      </c>
      <c r="J24" s="128">
        <f>Table1512[[#This Row],[Miktar]]+J23</f>
        <v>0</v>
      </c>
    </row>
    <row r="25" spans="2:10" x14ac:dyDescent="0.2">
      <c r="B25" s="22">
        <f t="shared" si="0"/>
        <v>301060</v>
      </c>
      <c r="C25" s="9">
        <f>D25</f>
        <v>44531</v>
      </c>
      <c r="D25" s="79">
        <v>44531</v>
      </c>
      <c r="E25" s="3">
        <v>13000</v>
      </c>
      <c r="F25" s="2" t="s">
        <v>0</v>
      </c>
      <c r="G25" s="2"/>
      <c r="H25" s="2" t="s">
        <v>88</v>
      </c>
      <c r="I25" s="2" t="s">
        <v>86</v>
      </c>
      <c r="J25" s="128">
        <f>Table1512[[#This Row],[Miktar]]+J24</f>
        <v>13000</v>
      </c>
    </row>
    <row r="26" spans="2:10" x14ac:dyDescent="0.2">
      <c r="B26" s="22">
        <f t="shared" si="0"/>
        <v>301070</v>
      </c>
      <c r="C26" s="2"/>
      <c r="D26" s="79">
        <v>44531</v>
      </c>
      <c r="E26" s="3">
        <v>-4000</v>
      </c>
      <c r="F26" s="2" t="s">
        <v>2</v>
      </c>
      <c r="G26" s="2"/>
      <c r="H26" s="2" t="s">
        <v>90</v>
      </c>
      <c r="I26" s="2" t="s">
        <v>86</v>
      </c>
      <c r="J26" s="128">
        <f>Table1512[[#This Row],[Miktar]]+J25</f>
        <v>9000</v>
      </c>
    </row>
    <row r="27" spans="2:10" x14ac:dyDescent="0.2">
      <c r="B27" s="22">
        <f t="shared" si="0"/>
        <v>301080</v>
      </c>
      <c r="C27" s="2"/>
      <c r="D27" s="79"/>
      <c r="E27" s="3">
        <v>0</v>
      </c>
      <c r="F27" s="2" t="s">
        <v>88</v>
      </c>
      <c r="G27" s="2"/>
      <c r="H27" s="2" t="s">
        <v>387</v>
      </c>
      <c r="I27" s="2" t="s">
        <v>86</v>
      </c>
      <c r="J27" s="128">
        <f>Table1512[[#This Row],[Miktar]]+J26</f>
        <v>9000</v>
      </c>
    </row>
    <row r="28" spans="2:10" x14ac:dyDescent="0.2">
      <c r="B28" s="22">
        <f>B27+10</f>
        <v>301090</v>
      </c>
      <c r="C28" s="9">
        <f>D28</f>
        <v>44562</v>
      </c>
      <c r="D28" s="79">
        <v>44562</v>
      </c>
      <c r="E28" s="60">
        <v>13000</v>
      </c>
      <c r="F28" s="2" t="s">
        <v>0</v>
      </c>
      <c r="G28" s="2"/>
      <c r="H28" s="2" t="s">
        <v>88</v>
      </c>
      <c r="I28" s="2" t="s">
        <v>86</v>
      </c>
      <c r="J28" s="128">
        <f>Table1512[[#This Row],[Miktar]]+J27</f>
        <v>22000</v>
      </c>
    </row>
    <row r="29" spans="2:10" x14ac:dyDescent="0.2">
      <c r="B29" s="22">
        <f t="shared" si="0"/>
        <v>301100</v>
      </c>
      <c r="C29" s="9"/>
      <c r="D29" s="79">
        <v>44564</v>
      </c>
      <c r="E29" s="60">
        <v>-4000</v>
      </c>
      <c r="F29" s="2" t="s">
        <v>2</v>
      </c>
      <c r="G29" s="2"/>
      <c r="H29" s="2" t="s">
        <v>90</v>
      </c>
      <c r="I29" s="2" t="s">
        <v>86</v>
      </c>
      <c r="J29" s="128">
        <f>Table1512[[#This Row],[Miktar]]+J28</f>
        <v>18000</v>
      </c>
    </row>
    <row r="30" spans="2:10" x14ac:dyDescent="0.2">
      <c r="B30" s="22">
        <f t="shared" si="0"/>
        <v>301110</v>
      </c>
      <c r="C30" s="9"/>
      <c r="D30" s="79">
        <v>44575</v>
      </c>
      <c r="E30" s="60">
        <v>-18000</v>
      </c>
      <c r="F30" s="2" t="s">
        <v>3</v>
      </c>
      <c r="G30" s="2"/>
      <c r="H30" s="2" t="s">
        <v>89</v>
      </c>
      <c r="I30" s="2" t="s">
        <v>86</v>
      </c>
      <c r="J30" s="128">
        <f>Table1512[[#This Row],[Miktar]]+J29</f>
        <v>0</v>
      </c>
    </row>
    <row r="31" spans="2:10" x14ac:dyDescent="0.2">
      <c r="B31" s="22">
        <f t="shared" si="0"/>
        <v>301120</v>
      </c>
      <c r="C31" s="9">
        <f>D31</f>
        <v>44593</v>
      </c>
      <c r="D31" s="79">
        <v>44593</v>
      </c>
      <c r="E31" s="60">
        <v>13000</v>
      </c>
      <c r="F31" s="2" t="s">
        <v>0</v>
      </c>
      <c r="G31" s="2"/>
      <c r="H31" s="2" t="s">
        <v>88</v>
      </c>
      <c r="I31" s="2" t="s">
        <v>86</v>
      </c>
      <c r="J31" s="128">
        <f>Table1512[[#This Row],[Miktar]]+J30</f>
        <v>13000</v>
      </c>
    </row>
    <row r="32" spans="2:10" x14ac:dyDescent="0.2">
      <c r="B32" s="22">
        <f t="shared" si="0"/>
        <v>301130</v>
      </c>
      <c r="C32" s="9"/>
      <c r="D32" s="79">
        <v>44596</v>
      </c>
      <c r="E32" s="3">
        <v>-4000</v>
      </c>
      <c r="F32" s="2" t="s">
        <v>2</v>
      </c>
      <c r="G32" s="2"/>
      <c r="H32" s="2" t="s">
        <v>90</v>
      </c>
      <c r="I32" s="2" t="s">
        <v>86</v>
      </c>
      <c r="J32" s="128">
        <f>Table1512[[#This Row],[Miktar]]+J31</f>
        <v>9000</v>
      </c>
    </row>
    <row r="33" spans="2:10" x14ac:dyDescent="0.2">
      <c r="B33" s="22">
        <f t="shared" si="0"/>
        <v>301140</v>
      </c>
      <c r="C33" s="9"/>
      <c r="D33" s="79">
        <v>44599</v>
      </c>
      <c r="E33" s="3">
        <v>-9000</v>
      </c>
      <c r="F33" s="2" t="s">
        <v>4</v>
      </c>
      <c r="G33" s="2"/>
      <c r="H33" s="2" t="s">
        <v>90</v>
      </c>
      <c r="I33" s="2" t="s">
        <v>86</v>
      </c>
      <c r="J33" s="128">
        <f>Table1512[[#This Row],[Miktar]]+J32</f>
        <v>0</v>
      </c>
    </row>
    <row r="34" spans="2:10" x14ac:dyDescent="0.2">
      <c r="B34" s="22">
        <f t="shared" si="0"/>
        <v>301150</v>
      </c>
      <c r="C34" s="9">
        <f t="shared" ref="C34" si="5">D34</f>
        <v>44621</v>
      </c>
      <c r="D34" s="79">
        <v>44621</v>
      </c>
      <c r="E34" s="60">
        <v>13000</v>
      </c>
      <c r="F34" s="2" t="s">
        <v>0</v>
      </c>
      <c r="G34" s="2"/>
      <c r="H34" s="2" t="s">
        <v>88</v>
      </c>
      <c r="I34" s="2" t="s">
        <v>86</v>
      </c>
      <c r="J34" s="128">
        <f>Table1512[[#This Row],[Miktar]]+J33</f>
        <v>13000</v>
      </c>
    </row>
    <row r="35" spans="2:10" x14ac:dyDescent="0.2">
      <c r="B35" s="22">
        <f t="shared" si="0"/>
        <v>301160</v>
      </c>
      <c r="C35" s="9"/>
      <c r="D35" s="79">
        <v>44627</v>
      </c>
      <c r="E35" s="3">
        <v>-4000</v>
      </c>
      <c r="F35" s="2" t="s">
        <v>2</v>
      </c>
      <c r="G35" s="2"/>
      <c r="H35" s="2" t="s">
        <v>90</v>
      </c>
      <c r="I35" s="2" t="s">
        <v>86</v>
      </c>
      <c r="J35" s="128">
        <f>Table1512[[#This Row],[Miktar]]+J34</f>
        <v>9000</v>
      </c>
    </row>
    <row r="36" spans="2:10" x14ac:dyDescent="0.2">
      <c r="B36" s="22">
        <f t="shared" si="0"/>
        <v>301170</v>
      </c>
      <c r="C36" s="9"/>
      <c r="D36" s="79">
        <v>44637</v>
      </c>
      <c r="E36" s="3">
        <v>-9000</v>
      </c>
      <c r="F36" s="2" t="s">
        <v>4</v>
      </c>
      <c r="G36" s="2"/>
      <c r="H36" s="2" t="s">
        <v>90</v>
      </c>
      <c r="I36" s="2" t="s">
        <v>86</v>
      </c>
      <c r="J36" s="128">
        <f>Table1512[[#This Row],[Miktar]]+J35</f>
        <v>0</v>
      </c>
    </row>
    <row r="37" spans="2:10" x14ac:dyDescent="0.2">
      <c r="B37" s="22">
        <f t="shared" si="0"/>
        <v>301180</v>
      </c>
      <c r="C37" s="9">
        <f t="shared" ref="C37" si="6">D37</f>
        <v>44652</v>
      </c>
      <c r="D37" s="79">
        <v>44652</v>
      </c>
      <c r="E37" s="60">
        <v>13000</v>
      </c>
      <c r="F37" s="2" t="s">
        <v>0</v>
      </c>
      <c r="G37" s="2"/>
      <c r="H37" s="2" t="s">
        <v>88</v>
      </c>
      <c r="I37" s="2" t="s">
        <v>86</v>
      </c>
      <c r="J37" s="128">
        <f>Table1512[[#This Row],[Miktar]]+J36</f>
        <v>13000</v>
      </c>
    </row>
    <row r="38" spans="2:10" x14ac:dyDescent="0.2">
      <c r="B38" s="22">
        <f t="shared" si="0"/>
        <v>301190</v>
      </c>
      <c r="C38" s="9"/>
      <c r="D38" s="79">
        <v>44655</v>
      </c>
      <c r="E38" s="60">
        <v>-4000</v>
      </c>
      <c r="F38" s="2" t="s">
        <v>2</v>
      </c>
      <c r="G38" s="2"/>
      <c r="H38" s="2" t="s">
        <v>90</v>
      </c>
      <c r="I38" s="2" t="s">
        <v>86</v>
      </c>
      <c r="J38" s="128">
        <f>Table1512[[#This Row],[Miktar]]+J37</f>
        <v>9000</v>
      </c>
    </row>
    <row r="39" spans="2:10" x14ac:dyDescent="0.2">
      <c r="B39" s="22">
        <f t="shared" si="0"/>
        <v>301200</v>
      </c>
      <c r="C39" s="9"/>
      <c r="D39" s="79">
        <v>44659</v>
      </c>
      <c r="E39" s="3">
        <v>-9000</v>
      </c>
      <c r="F39" s="2" t="s">
        <v>4</v>
      </c>
      <c r="G39" s="2"/>
      <c r="H39" s="2" t="s">
        <v>90</v>
      </c>
      <c r="I39" s="2" t="s">
        <v>86</v>
      </c>
      <c r="J39" s="128">
        <f>Table1512[[#This Row],[Miktar]]+J38</f>
        <v>0</v>
      </c>
    </row>
    <row r="40" spans="2:10" x14ac:dyDescent="0.2">
      <c r="B40" s="22">
        <f t="shared" si="0"/>
        <v>301210</v>
      </c>
      <c r="C40" s="9">
        <f t="shared" ref="C40" si="7">D40</f>
        <v>44682</v>
      </c>
      <c r="D40" s="79">
        <v>44682</v>
      </c>
      <c r="E40" s="60">
        <v>13000</v>
      </c>
      <c r="F40" s="2" t="s">
        <v>0</v>
      </c>
      <c r="G40" s="2"/>
      <c r="H40" s="2" t="s">
        <v>88</v>
      </c>
      <c r="I40" s="2" t="s">
        <v>86</v>
      </c>
      <c r="J40" s="128">
        <f>Table1512[[#This Row],[Miktar]]+J39</f>
        <v>13000</v>
      </c>
    </row>
    <row r="41" spans="2:10" x14ac:dyDescent="0.2">
      <c r="B41" s="22">
        <f t="shared" si="0"/>
        <v>301220</v>
      </c>
      <c r="C41" s="9"/>
      <c r="D41" s="79">
        <v>44690</v>
      </c>
      <c r="E41" s="60">
        <v>-4000</v>
      </c>
      <c r="F41" s="2" t="s">
        <v>2</v>
      </c>
      <c r="G41" s="2"/>
      <c r="H41" s="2" t="s">
        <v>90</v>
      </c>
      <c r="I41" s="2" t="s">
        <v>86</v>
      </c>
      <c r="J41" s="128">
        <f>Table1512[[#This Row],[Miktar]]+J40</f>
        <v>9000</v>
      </c>
    </row>
    <row r="42" spans="2:10" x14ac:dyDescent="0.2">
      <c r="B42" s="22">
        <f t="shared" si="0"/>
        <v>301230</v>
      </c>
      <c r="C42" s="9"/>
      <c r="D42" s="79">
        <v>44692</v>
      </c>
      <c r="E42" s="3">
        <v>-9000</v>
      </c>
      <c r="F42" s="2" t="s">
        <v>4</v>
      </c>
      <c r="G42" s="2"/>
      <c r="H42" s="2" t="s">
        <v>90</v>
      </c>
      <c r="I42" s="2" t="s">
        <v>86</v>
      </c>
      <c r="J42" s="128">
        <f>Table1512[[#This Row],[Miktar]]+J41</f>
        <v>0</v>
      </c>
    </row>
    <row r="43" spans="2:10" x14ac:dyDescent="0.2">
      <c r="B43" s="22">
        <f t="shared" si="0"/>
        <v>301240</v>
      </c>
      <c r="C43" s="9">
        <f t="shared" ref="C43" si="8">D43</f>
        <v>44713</v>
      </c>
      <c r="D43" s="79">
        <v>44713</v>
      </c>
      <c r="E43" s="60">
        <v>13000</v>
      </c>
      <c r="F43" s="2" t="s">
        <v>0</v>
      </c>
      <c r="G43" s="2"/>
      <c r="H43" s="2" t="s">
        <v>88</v>
      </c>
      <c r="I43" s="2" t="s">
        <v>86</v>
      </c>
      <c r="J43" s="128">
        <f>Table1512[[#This Row],[Miktar]]+J42</f>
        <v>13000</v>
      </c>
    </row>
    <row r="44" spans="2:10" x14ac:dyDescent="0.2">
      <c r="B44" s="22">
        <f t="shared" si="0"/>
        <v>301250</v>
      </c>
      <c r="C44" s="9"/>
      <c r="D44" s="79">
        <v>44719</v>
      </c>
      <c r="E44" s="60">
        <v>-4000</v>
      </c>
      <c r="F44" s="2" t="s">
        <v>2</v>
      </c>
      <c r="G44" s="2"/>
      <c r="H44" s="2" t="s">
        <v>90</v>
      </c>
      <c r="I44" s="2" t="s">
        <v>86</v>
      </c>
      <c r="J44" s="128">
        <f>Table1512[[#This Row],[Miktar]]+J43</f>
        <v>9000</v>
      </c>
    </row>
    <row r="45" spans="2:10" x14ac:dyDescent="0.2">
      <c r="B45" s="22">
        <f t="shared" si="0"/>
        <v>301260</v>
      </c>
      <c r="C45" s="9"/>
      <c r="D45" s="79">
        <v>44722</v>
      </c>
      <c r="E45" s="3">
        <v>-9000</v>
      </c>
      <c r="F45" s="2" t="s">
        <v>4</v>
      </c>
      <c r="G45" s="2"/>
      <c r="H45" s="2" t="s">
        <v>90</v>
      </c>
      <c r="I45" s="2" t="s">
        <v>86</v>
      </c>
      <c r="J45" s="128">
        <f>Table1512[[#This Row],[Miktar]]+J44</f>
        <v>0</v>
      </c>
    </row>
    <row r="46" spans="2:10" x14ac:dyDescent="0.2">
      <c r="B46" s="22">
        <f t="shared" si="0"/>
        <v>301270</v>
      </c>
      <c r="C46" s="9">
        <f t="shared" ref="C46" si="9">D46</f>
        <v>44743</v>
      </c>
      <c r="D46" s="79">
        <v>44743</v>
      </c>
      <c r="E46" s="60">
        <v>13000</v>
      </c>
      <c r="F46" s="2" t="s">
        <v>0</v>
      </c>
      <c r="G46" s="2"/>
      <c r="H46" s="2" t="s">
        <v>88</v>
      </c>
      <c r="I46" s="2" t="s">
        <v>86</v>
      </c>
      <c r="J46" s="128">
        <f>Table1512[[#This Row],[Miktar]]+J45</f>
        <v>13000</v>
      </c>
    </row>
    <row r="47" spans="2:10" x14ac:dyDescent="0.2">
      <c r="B47" s="22">
        <f t="shared" si="0"/>
        <v>301280</v>
      </c>
      <c r="C47" s="9"/>
      <c r="D47" s="79">
        <v>44755</v>
      </c>
      <c r="E47" s="60">
        <v>-4000</v>
      </c>
      <c r="F47" s="62" t="s">
        <v>2</v>
      </c>
      <c r="G47" s="2"/>
      <c r="H47" s="2" t="s">
        <v>90</v>
      </c>
      <c r="I47" s="2" t="s">
        <v>86</v>
      </c>
      <c r="J47" s="128">
        <f>Table1512[[#This Row],[Miktar]]+J46</f>
        <v>9000</v>
      </c>
    </row>
    <row r="48" spans="2:10" x14ac:dyDescent="0.2">
      <c r="B48" s="22">
        <f t="shared" si="0"/>
        <v>301290</v>
      </c>
      <c r="C48" s="9"/>
      <c r="D48" s="79">
        <v>44755</v>
      </c>
      <c r="E48" s="3">
        <v>-9000</v>
      </c>
      <c r="F48" s="62" t="s">
        <v>4</v>
      </c>
      <c r="G48" s="2"/>
      <c r="H48" s="2" t="s">
        <v>90</v>
      </c>
      <c r="I48" s="2" t="s">
        <v>86</v>
      </c>
      <c r="J48" s="128">
        <f>Table1512[[#This Row],[Miktar]]+J47</f>
        <v>0</v>
      </c>
    </row>
    <row r="49" spans="2:10" x14ac:dyDescent="0.2">
      <c r="B49" s="22">
        <f t="shared" si="0"/>
        <v>301300</v>
      </c>
      <c r="C49" s="9">
        <f t="shared" ref="C49" si="10">D49</f>
        <v>44774</v>
      </c>
      <c r="D49" s="79">
        <v>44774</v>
      </c>
      <c r="E49" s="60">
        <v>13000</v>
      </c>
      <c r="F49" s="2" t="s">
        <v>0</v>
      </c>
      <c r="G49" s="2"/>
      <c r="H49" s="2" t="s">
        <v>88</v>
      </c>
      <c r="I49" s="2" t="s">
        <v>86</v>
      </c>
      <c r="J49" s="128">
        <f>Table1512[[#This Row],[Miktar]]+J48</f>
        <v>13000</v>
      </c>
    </row>
    <row r="50" spans="2:10" x14ac:dyDescent="0.2">
      <c r="B50" s="22">
        <f t="shared" si="0"/>
        <v>301310</v>
      </c>
      <c r="C50" s="9"/>
      <c r="D50" s="79">
        <v>44781</v>
      </c>
      <c r="E50" s="60">
        <v>-4000</v>
      </c>
      <c r="F50" s="62" t="s">
        <v>2</v>
      </c>
      <c r="G50" s="2"/>
      <c r="H50" s="2" t="s">
        <v>90</v>
      </c>
      <c r="I50" s="2" t="s">
        <v>86</v>
      </c>
      <c r="J50" s="128">
        <f>Table1512[[#This Row],[Miktar]]+J49</f>
        <v>9000</v>
      </c>
    </row>
    <row r="51" spans="2:10" x14ac:dyDescent="0.2">
      <c r="B51" s="22">
        <f t="shared" si="0"/>
        <v>301320</v>
      </c>
      <c r="C51" s="9"/>
      <c r="D51" s="79">
        <v>44788</v>
      </c>
      <c r="E51" s="3">
        <v>-9000</v>
      </c>
      <c r="F51" s="62" t="s">
        <v>4</v>
      </c>
      <c r="G51" s="2"/>
      <c r="H51" s="2" t="s">
        <v>90</v>
      </c>
      <c r="I51" s="2" t="s">
        <v>86</v>
      </c>
      <c r="J51" s="128">
        <f>Table1512[[#This Row],[Miktar]]+J50</f>
        <v>0</v>
      </c>
    </row>
    <row r="52" spans="2:10" x14ac:dyDescent="0.2">
      <c r="B52" s="22">
        <f t="shared" si="0"/>
        <v>301330</v>
      </c>
      <c r="C52" s="9">
        <f t="shared" ref="C52" si="11">D52</f>
        <v>44805</v>
      </c>
      <c r="D52" s="79">
        <v>44805</v>
      </c>
      <c r="E52" s="60">
        <v>13000</v>
      </c>
      <c r="F52" s="2" t="s">
        <v>0</v>
      </c>
      <c r="G52" s="2"/>
      <c r="H52" s="2" t="s">
        <v>88</v>
      </c>
      <c r="I52" s="2" t="s">
        <v>86</v>
      </c>
      <c r="J52" s="128">
        <f>Table1512[[#This Row],[Miktar]]+J51</f>
        <v>13000</v>
      </c>
    </row>
    <row r="53" spans="2:10" x14ac:dyDescent="0.2">
      <c r="B53" s="22">
        <f t="shared" si="0"/>
        <v>301340</v>
      </c>
      <c r="C53" s="9"/>
      <c r="D53" s="79">
        <v>44813</v>
      </c>
      <c r="E53" s="60">
        <v>-4000</v>
      </c>
      <c r="F53" s="62" t="s">
        <v>2</v>
      </c>
      <c r="G53" s="2"/>
      <c r="H53" s="2" t="s">
        <v>90</v>
      </c>
      <c r="I53" s="2" t="s">
        <v>86</v>
      </c>
      <c r="J53" s="128">
        <f>Table1512[[#This Row],[Miktar]]+J52</f>
        <v>9000</v>
      </c>
    </row>
    <row r="54" spans="2:10" ht="17" thickBot="1" x14ac:dyDescent="0.25">
      <c r="B54" s="65">
        <f t="shared" si="0"/>
        <v>301350</v>
      </c>
      <c r="C54" s="33"/>
      <c r="D54" s="82">
        <v>44816</v>
      </c>
      <c r="E54" s="66">
        <v>-9000</v>
      </c>
      <c r="F54" s="67" t="s">
        <v>4</v>
      </c>
      <c r="G54" s="10"/>
      <c r="H54" s="2" t="s">
        <v>90</v>
      </c>
      <c r="I54" s="10" t="s">
        <v>86</v>
      </c>
      <c r="J54" s="214">
        <f>Table1512[[#This Row],[Miktar]]+J53</f>
        <v>0</v>
      </c>
    </row>
    <row r="55" spans="2:10" ht="17" thickTop="1" x14ac:dyDescent="0.2">
      <c r="B55" s="37">
        <f>B54+10</f>
        <v>301360</v>
      </c>
      <c r="C55" s="9">
        <f t="shared" ref="C55" si="12">D55</f>
        <v>44835</v>
      </c>
      <c r="D55" s="79">
        <v>44835</v>
      </c>
      <c r="E55" s="13">
        <v>24000</v>
      </c>
      <c r="F55" s="12" t="s">
        <v>0</v>
      </c>
      <c r="G55" s="12"/>
      <c r="H55" s="2" t="s">
        <v>88</v>
      </c>
      <c r="I55" s="12" t="s">
        <v>86</v>
      </c>
      <c r="J55" s="128">
        <f>Table1512[[#This Row],[Miktar]]+J54</f>
        <v>24000</v>
      </c>
    </row>
    <row r="56" spans="2:10" x14ac:dyDescent="0.2">
      <c r="B56" s="22">
        <f t="shared" si="0"/>
        <v>301370</v>
      </c>
      <c r="C56" s="9"/>
      <c r="D56" s="79">
        <v>44845</v>
      </c>
      <c r="E56" s="60">
        <v>-4400</v>
      </c>
      <c r="F56" s="62" t="s">
        <v>2</v>
      </c>
      <c r="G56" s="2" t="s">
        <v>105</v>
      </c>
      <c r="H56" s="2" t="s">
        <v>90</v>
      </c>
      <c r="I56" s="2" t="s">
        <v>86</v>
      </c>
      <c r="J56" s="128">
        <f>Table1512[[#This Row],[Miktar]]+J55</f>
        <v>19600</v>
      </c>
    </row>
    <row r="57" spans="2:10" x14ac:dyDescent="0.2">
      <c r="B57" s="37">
        <f t="shared" si="0"/>
        <v>301380</v>
      </c>
      <c r="C57" s="9"/>
      <c r="D57" s="79">
        <v>44855</v>
      </c>
      <c r="E57" s="13">
        <v>-19600</v>
      </c>
      <c r="F57" s="62" t="s">
        <v>3</v>
      </c>
      <c r="G57" s="12"/>
      <c r="H57" s="2" t="s">
        <v>89</v>
      </c>
      <c r="I57" s="12" t="s">
        <v>86</v>
      </c>
      <c r="J57" s="128">
        <f>Table1512[[#This Row],[Miktar]]+J56</f>
        <v>0</v>
      </c>
    </row>
    <row r="58" spans="2:10" x14ac:dyDescent="0.2">
      <c r="B58" s="37">
        <f t="shared" si="0"/>
        <v>301390</v>
      </c>
      <c r="C58" s="9">
        <f t="shared" ref="C58" si="13">D58</f>
        <v>44866</v>
      </c>
      <c r="D58" s="79">
        <v>44866</v>
      </c>
      <c r="E58" s="76">
        <v>24000</v>
      </c>
      <c r="F58" s="12" t="s">
        <v>0</v>
      </c>
      <c r="G58" s="12"/>
      <c r="H58" s="2" t="s">
        <v>88</v>
      </c>
      <c r="I58" s="12" t="s">
        <v>86</v>
      </c>
      <c r="J58" s="128">
        <f>Table1512[[#This Row],[Miktar]]+J57</f>
        <v>24000</v>
      </c>
    </row>
    <row r="59" spans="2:10" x14ac:dyDescent="0.2">
      <c r="B59" s="22">
        <f t="shared" si="0"/>
        <v>301400</v>
      </c>
      <c r="C59" s="9"/>
      <c r="D59" s="79">
        <v>44879</v>
      </c>
      <c r="E59" s="60">
        <v>-4400</v>
      </c>
      <c r="F59" s="62" t="s">
        <v>2</v>
      </c>
      <c r="G59" s="2"/>
      <c r="H59" s="2" t="s">
        <v>90</v>
      </c>
      <c r="I59" s="2" t="s">
        <v>86</v>
      </c>
      <c r="J59" s="128">
        <f>Table1512[[#This Row],[Miktar]]+J58</f>
        <v>19600</v>
      </c>
    </row>
    <row r="60" spans="2:10" x14ac:dyDescent="0.2">
      <c r="B60" s="37">
        <f t="shared" si="0"/>
        <v>301410</v>
      </c>
      <c r="C60" s="9"/>
      <c r="D60" s="79">
        <v>44887</v>
      </c>
      <c r="E60" s="13">
        <v>-19600</v>
      </c>
      <c r="F60" s="62" t="s">
        <v>4</v>
      </c>
      <c r="G60" s="12"/>
      <c r="H60" s="2" t="s">
        <v>90</v>
      </c>
      <c r="I60" s="12" t="s">
        <v>86</v>
      </c>
      <c r="J60" s="128">
        <f>Table1512[[#This Row],[Miktar]]+J59</f>
        <v>0</v>
      </c>
    </row>
    <row r="61" spans="2:10" x14ac:dyDescent="0.2">
      <c r="B61" s="37">
        <f t="shared" si="0"/>
        <v>301420</v>
      </c>
      <c r="C61" s="9">
        <f t="shared" ref="C61" si="14">D61</f>
        <v>44896</v>
      </c>
      <c r="D61" s="79">
        <v>44896</v>
      </c>
      <c r="E61" s="76">
        <v>24000</v>
      </c>
      <c r="F61" s="12" t="s">
        <v>0</v>
      </c>
      <c r="G61" s="12"/>
      <c r="H61" s="2" t="s">
        <v>88</v>
      </c>
      <c r="I61" s="12" t="s">
        <v>86</v>
      </c>
      <c r="J61" s="128">
        <f>Table1512[[#This Row],[Miktar]]+J60</f>
        <v>24000</v>
      </c>
    </row>
    <row r="62" spans="2:10" x14ac:dyDescent="0.2">
      <c r="B62" s="22">
        <f t="shared" si="0"/>
        <v>301430</v>
      </c>
      <c r="C62" s="9"/>
      <c r="D62" s="79">
        <v>44908</v>
      </c>
      <c r="E62" s="60">
        <v>-4400</v>
      </c>
      <c r="F62" s="62" t="s">
        <v>2</v>
      </c>
      <c r="G62" s="2"/>
      <c r="H62" s="2" t="s">
        <v>90</v>
      </c>
      <c r="I62" s="2"/>
      <c r="J62" s="128">
        <f>Table1512[[#This Row],[Miktar]]+J61</f>
        <v>19600</v>
      </c>
    </row>
    <row r="63" spans="2:10" x14ac:dyDescent="0.2">
      <c r="B63" s="37">
        <f t="shared" si="0"/>
        <v>301440</v>
      </c>
      <c r="C63" s="9"/>
      <c r="D63" s="79">
        <v>44910</v>
      </c>
      <c r="E63" s="13">
        <v>-19600</v>
      </c>
      <c r="F63" s="62" t="s">
        <v>4</v>
      </c>
      <c r="G63" s="2"/>
      <c r="H63" s="2" t="s">
        <v>90</v>
      </c>
      <c r="I63" s="2"/>
      <c r="J63" s="128">
        <f>Table1512[[#This Row],[Miktar]]+J62</f>
        <v>0</v>
      </c>
    </row>
    <row r="64" spans="2:10" x14ac:dyDescent="0.2">
      <c r="B64" s="37">
        <f t="shared" ref="B64:B90" si="15">B63+10</f>
        <v>301450</v>
      </c>
      <c r="C64" s="9">
        <f t="shared" ref="C64" si="16">D64</f>
        <v>44927</v>
      </c>
      <c r="D64" s="79">
        <v>44927</v>
      </c>
      <c r="E64" s="76">
        <v>24000</v>
      </c>
      <c r="F64" s="12" t="s">
        <v>0</v>
      </c>
      <c r="G64" s="12"/>
      <c r="H64" s="2" t="s">
        <v>88</v>
      </c>
      <c r="I64" s="12" t="s">
        <v>86</v>
      </c>
      <c r="J64" s="128">
        <f>Table1512[[#This Row],[Miktar]]+J63</f>
        <v>24000</v>
      </c>
    </row>
    <row r="65" spans="1:10" x14ac:dyDescent="0.2">
      <c r="B65" s="22">
        <f t="shared" si="15"/>
        <v>301460</v>
      </c>
      <c r="C65" s="9"/>
      <c r="D65" s="79">
        <v>44939</v>
      </c>
      <c r="E65" s="60">
        <v>-4400</v>
      </c>
      <c r="F65" s="62" t="s">
        <v>2</v>
      </c>
      <c r="G65" s="2"/>
      <c r="H65" s="2" t="s">
        <v>90</v>
      </c>
      <c r="I65" s="2"/>
      <c r="J65" s="128">
        <f>Table1512[[#This Row],[Miktar]]+J64</f>
        <v>19600</v>
      </c>
    </row>
    <row r="66" spans="1:10" x14ac:dyDescent="0.2">
      <c r="B66" s="37">
        <f t="shared" si="15"/>
        <v>301470</v>
      </c>
      <c r="C66" s="9"/>
      <c r="D66" s="79">
        <v>44944</v>
      </c>
      <c r="E66" s="13">
        <v>-19600</v>
      </c>
      <c r="F66" s="62" t="s">
        <v>4</v>
      </c>
      <c r="G66" s="2"/>
      <c r="H66" s="2" t="s">
        <v>90</v>
      </c>
      <c r="I66" s="2"/>
      <c r="J66" s="128">
        <f>Table1512[[#This Row],[Miktar]]+J65</f>
        <v>0</v>
      </c>
    </row>
    <row r="67" spans="1:10" x14ac:dyDescent="0.2">
      <c r="B67" s="37">
        <f t="shared" si="15"/>
        <v>301480</v>
      </c>
      <c r="C67" s="9">
        <f t="shared" ref="C67" si="17">D67</f>
        <v>44958</v>
      </c>
      <c r="D67" s="79">
        <v>44958</v>
      </c>
      <c r="E67" s="76">
        <v>24000</v>
      </c>
      <c r="F67" s="12" t="s">
        <v>0</v>
      </c>
      <c r="G67" s="12"/>
      <c r="H67" s="2" t="s">
        <v>88</v>
      </c>
      <c r="I67" s="12" t="s">
        <v>86</v>
      </c>
      <c r="J67" s="128">
        <f>Table1512[[#This Row],[Miktar]]+J66</f>
        <v>24000</v>
      </c>
    </row>
    <row r="68" spans="1:10" x14ac:dyDescent="0.2">
      <c r="B68" s="22">
        <f t="shared" si="15"/>
        <v>301490</v>
      </c>
      <c r="C68" s="9"/>
      <c r="D68" s="79">
        <v>44972</v>
      </c>
      <c r="E68" s="60">
        <v>-4400</v>
      </c>
      <c r="F68" s="62" t="s">
        <v>2</v>
      </c>
      <c r="G68" s="2"/>
      <c r="H68" s="2" t="s">
        <v>90</v>
      </c>
      <c r="I68" s="2"/>
      <c r="J68" s="128">
        <f>Table1512[[#This Row],[Miktar]]+J67</f>
        <v>19600</v>
      </c>
    </row>
    <row r="69" spans="1:10" x14ac:dyDescent="0.2">
      <c r="B69" s="37">
        <f t="shared" si="15"/>
        <v>301500</v>
      </c>
      <c r="C69" s="9"/>
      <c r="D69" s="79">
        <v>44978</v>
      </c>
      <c r="E69" s="13">
        <v>-19600</v>
      </c>
      <c r="F69" s="62" t="s">
        <v>4</v>
      </c>
      <c r="G69" s="2"/>
      <c r="H69" s="2" t="s">
        <v>90</v>
      </c>
      <c r="I69" s="2"/>
      <c r="J69" s="128">
        <f>Table1512[[#This Row],[Miktar]]+J68</f>
        <v>0</v>
      </c>
    </row>
    <row r="70" spans="1:10" x14ac:dyDescent="0.2">
      <c r="A70" t="s">
        <v>112</v>
      </c>
      <c r="B70" s="37">
        <f t="shared" si="15"/>
        <v>301510</v>
      </c>
      <c r="C70" s="9">
        <f t="shared" ref="C70" si="18">D70</f>
        <v>44986</v>
      </c>
      <c r="D70" s="79">
        <v>44986</v>
      </c>
      <c r="E70" s="76">
        <v>24000</v>
      </c>
      <c r="F70" s="12" t="s">
        <v>0</v>
      </c>
      <c r="G70" s="12"/>
      <c r="H70" s="2" t="s">
        <v>88</v>
      </c>
      <c r="I70" s="12" t="s">
        <v>86</v>
      </c>
      <c r="J70" s="128">
        <f>Table1512[[#This Row],[Miktar]]+J69</f>
        <v>24000</v>
      </c>
    </row>
    <row r="71" spans="1:10" x14ac:dyDescent="0.2">
      <c r="B71" s="22">
        <f t="shared" si="15"/>
        <v>301520</v>
      </c>
      <c r="C71" s="9"/>
      <c r="D71" s="79">
        <v>44998</v>
      </c>
      <c r="E71" s="60">
        <v>-4400</v>
      </c>
      <c r="F71" s="62" t="s">
        <v>2</v>
      </c>
      <c r="G71" s="2"/>
      <c r="H71" s="2" t="s">
        <v>90</v>
      </c>
      <c r="I71" s="2"/>
      <c r="J71" s="128">
        <f>Table1512[[#This Row],[Miktar]]+J70</f>
        <v>19600</v>
      </c>
    </row>
    <row r="72" spans="1:10" x14ac:dyDescent="0.2">
      <c r="B72" s="37">
        <f t="shared" si="15"/>
        <v>301530</v>
      </c>
      <c r="C72" s="9"/>
      <c r="D72" s="79">
        <v>45005</v>
      </c>
      <c r="E72" s="13">
        <v>-19600</v>
      </c>
      <c r="F72" s="62" t="s">
        <v>4</v>
      </c>
      <c r="G72" s="2"/>
      <c r="H72" s="2" t="s">
        <v>90</v>
      </c>
      <c r="I72" s="2"/>
      <c r="J72" s="128">
        <f>Table1512[[#This Row],[Miktar]]+J71</f>
        <v>0</v>
      </c>
    </row>
    <row r="73" spans="1:10" x14ac:dyDescent="0.2">
      <c r="B73" s="37">
        <f t="shared" si="15"/>
        <v>301540</v>
      </c>
      <c r="C73" s="9">
        <f t="shared" ref="C73" si="19">D73</f>
        <v>45017</v>
      </c>
      <c r="D73" s="79">
        <v>45017</v>
      </c>
      <c r="E73" s="76">
        <v>24000</v>
      </c>
      <c r="F73" s="12" t="s">
        <v>0</v>
      </c>
      <c r="G73" s="12"/>
      <c r="H73" s="2" t="s">
        <v>88</v>
      </c>
      <c r="I73" s="12" t="s">
        <v>86</v>
      </c>
      <c r="J73" s="128">
        <f>Table1512[[#This Row],[Miktar]]+J72</f>
        <v>24000</v>
      </c>
    </row>
    <row r="74" spans="1:10" x14ac:dyDescent="0.2">
      <c r="B74" s="22">
        <f t="shared" si="15"/>
        <v>301550</v>
      </c>
      <c r="C74" s="9"/>
      <c r="D74" s="79">
        <v>45030</v>
      </c>
      <c r="E74" s="60">
        <v>-4400</v>
      </c>
      <c r="F74" s="62" t="s">
        <v>2</v>
      </c>
      <c r="G74" s="2"/>
      <c r="H74" s="2" t="s">
        <v>90</v>
      </c>
      <c r="I74" s="2"/>
      <c r="J74" s="128">
        <f>Table1512[[#This Row],[Miktar]]+J73</f>
        <v>19600</v>
      </c>
    </row>
    <row r="75" spans="1:10" x14ac:dyDescent="0.2">
      <c r="B75" s="37">
        <f t="shared" si="15"/>
        <v>301560</v>
      </c>
      <c r="C75" s="9"/>
      <c r="D75" s="79">
        <v>45035</v>
      </c>
      <c r="E75" s="13">
        <v>-19600</v>
      </c>
      <c r="F75" s="62" t="s">
        <v>4</v>
      </c>
      <c r="G75" s="2"/>
      <c r="H75" s="2" t="s">
        <v>90</v>
      </c>
      <c r="I75" s="2"/>
      <c r="J75" s="128">
        <f>Table1512[[#This Row],[Miktar]]+J74</f>
        <v>0</v>
      </c>
    </row>
    <row r="76" spans="1:10" x14ac:dyDescent="0.2">
      <c r="B76" s="37">
        <f t="shared" si="15"/>
        <v>301570</v>
      </c>
      <c r="C76" s="9">
        <f t="shared" ref="C76" si="20">D76</f>
        <v>45047</v>
      </c>
      <c r="D76" s="79">
        <v>45047</v>
      </c>
      <c r="E76" s="76">
        <v>24000</v>
      </c>
      <c r="F76" s="12" t="s">
        <v>0</v>
      </c>
      <c r="G76" s="12"/>
      <c r="H76" s="2" t="s">
        <v>88</v>
      </c>
      <c r="I76" s="12" t="s">
        <v>86</v>
      </c>
      <c r="J76" s="128">
        <f>Table1512[[#This Row],[Miktar]]+J75</f>
        <v>24000</v>
      </c>
    </row>
    <row r="77" spans="1:10" x14ac:dyDescent="0.2">
      <c r="B77" s="22">
        <f t="shared" si="15"/>
        <v>301580</v>
      </c>
      <c r="C77" s="9"/>
      <c r="D77" s="79">
        <v>45061</v>
      </c>
      <c r="E77" s="60">
        <v>-4400</v>
      </c>
      <c r="F77" s="62" t="s">
        <v>2</v>
      </c>
      <c r="G77" s="2"/>
      <c r="H77" s="2" t="s">
        <v>90</v>
      </c>
      <c r="I77" s="2"/>
      <c r="J77" s="128">
        <f>Table1512[[#This Row],[Miktar]]+J76</f>
        <v>19600</v>
      </c>
    </row>
    <row r="78" spans="1:10" x14ac:dyDescent="0.2">
      <c r="B78" s="37">
        <f t="shared" si="15"/>
        <v>301590</v>
      </c>
      <c r="C78" s="9"/>
      <c r="D78" s="79">
        <v>45062</v>
      </c>
      <c r="E78" s="13">
        <v>-19600</v>
      </c>
      <c r="F78" s="62" t="s">
        <v>4</v>
      </c>
      <c r="G78" s="2"/>
      <c r="H78" s="2" t="s">
        <v>90</v>
      </c>
      <c r="I78" s="2"/>
      <c r="J78" s="128">
        <f>Table1512[[#This Row],[Miktar]]+J77</f>
        <v>0</v>
      </c>
    </row>
    <row r="79" spans="1:10" x14ac:dyDescent="0.2">
      <c r="B79" s="37">
        <f t="shared" si="15"/>
        <v>301600</v>
      </c>
      <c r="C79" s="9">
        <f t="shared" ref="C79" si="21">D79</f>
        <v>45078</v>
      </c>
      <c r="D79" s="79">
        <v>45078</v>
      </c>
      <c r="E79" s="76">
        <v>24000</v>
      </c>
      <c r="F79" s="12" t="s">
        <v>0</v>
      </c>
      <c r="G79" s="12"/>
      <c r="H79" s="2" t="s">
        <v>88</v>
      </c>
      <c r="I79" s="12" t="s">
        <v>86</v>
      </c>
      <c r="J79" s="128">
        <f>Table1512[[#This Row],[Miktar]]+J78</f>
        <v>24000</v>
      </c>
    </row>
    <row r="80" spans="1:10" x14ac:dyDescent="0.2">
      <c r="B80" s="22">
        <f t="shared" si="15"/>
        <v>301610</v>
      </c>
      <c r="C80" s="9"/>
      <c r="D80" s="79">
        <v>45089</v>
      </c>
      <c r="E80" s="60">
        <v>-4400</v>
      </c>
      <c r="F80" s="62" t="s">
        <v>2</v>
      </c>
      <c r="G80" s="2"/>
      <c r="H80" s="2" t="s">
        <v>90</v>
      </c>
      <c r="I80" s="2"/>
      <c r="J80" s="128">
        <f>Table1512[[#This Row],[Miktar]]+J79</f>
        <v>19600</v>
      </c>
    </row>
    <row r="81" spans="1:10" x14ac:dyDescent="0.2">
      <c r="B81" s="37">
        <f t="shared" si="15"/>
        <v>301620</v>
      </c>
      <c r="C81" s="9"/>
      <c r="D81" s="79">
        <v>45093</v>
      </c>
      <c r="E81" s="13">
        <v>-19600</v>
      </c>
      <c r="F81" s="62" t="s">
        <v>4</v>
      </c>
      <c r="G81" s="2"/>
      <c r="H81" s="2" t="s">
        <v>90</v>
      </c>
      <c r="I81" s="2"/>
      <c r="J81" s="128">
        <f>Table1512[[#This Row],[Miktar]]+J80</f>
        <v>0</v>
      </c>
    </row>
    <row r="82" spans="1:10" x14ac:dyDescent="0.2">
      <c r="B82" s="37">
        <f t="shared" si="15"/>
        <v>301630</v>
      </c>
      <c r="C82" s="9">
        <f t="shared" ref="C82" si="22">D82</f>
        <v>45108</v>
      </c>
      <c r="D82" s="79">
        <v>45108</v>
      </c>
      <c r="E82" s="76">
        <v>24000</v>
      </c>
      <c r="F82" s="12" t="s">
        <v>0</v>
      </c>
      <c r="G82" s="12"/>
      <c r="H82" s="2" t="s">
        <v>88</v>
      </c>
      <c r="I82" s="12" t="s">
        <v>86</v>
      </c>
      <c r="J82" s="128">
        <f>Table1512[[#This Row],[Miktar]]+J81</f>
        <v>24000</v>
      </c>
    </row>
    <row r="83" spans="1:10" x14ac:dyDescent="0.2">
      <c r="B83" s="22">
        <f t="shared" si="15"/>
        <v>301640</v>
      </c>
      <c r="C83" s="9"/>
      <c r="D83" s="79">
        <v>45124</v>
      </c>
      <c r="E83" s="60">
        <v>-4400</v>
      </c>
      <c r="F83" s="62" t="s">
        <v>2</v>
      </c>
      <c r="G83" s="2"/>
      <c r="H83" s="2" t="s">
        <v>90</v>
      </c>
      <c r="I83" s="2"/>
      <c r="J83" s="128">
        <f>Table1512[[#This Row],[Miktar]]+J82</f>
        <v>19600</v>
      </c>
    </row>
    <row r="84" spans="1:10" x14ac:dyDescent="0.2">
      <c r="B84" s="37">
        <f t="shared" si="15"/>
        <v>301650</v>
      </c>
      <c r="C84" s="9"/>
      <c r="D84" s="79">
        <v>45127</v>
      </c>
      <c r="E84" s="13">
        <v>-19600</v>
      </c>
      <c r="F84" s="62" t="s">
        <v>4</v>
      </c>
      <c r="G84" s="2"/>
      <c r="H84" s="2" t="s">
        <v>90</v>
      </c>
      <c r="I84" s="2"/>
      <c r="J84" s="128">
        <f>Table1512[[#This Row],[Miktar]]+J83</f>
        <v>0</v>
      </c>
    </row>
    <row r="85" spans="1:10" x14ac:dyDescent="0.2">
      <c r="A85" t="s">
        <v>112</v>
      </c>
      <c r="B85" s="37">
        <f t="shared" si="15"/>
        <v>301660</v>
      </c>
      <c r="C85" s="9">
        <f t="shared" ref="C85" si="23">D85</f>
        <v>45139</v>
      </c>
      <c r="D85" s="79">
        <v>45139</v>
      </c>
      <c r="E85" s="76">
        <v>24000</v>
      </c>
      <c r="F85" s="12" t="s">
        <v>0</v>
      </c>
      <c r="G85" s="12"/>
      <c r="H85" s="2" t="s">
        <v>88</v>
      </c>
      <c r="I85" s="12" t="s">
        <v>86</v>
      </c>
      <c r="J85" s="128">
        <f>Table1512[[#This Row],[Miktar]]+J84</f>
        <v>24000</v>
      </c>
    </row>
    <row r="86" spans="1:10" x14ac:dyDescent="0.2">
      <c r="B86" s="22">
        <f t="shared" si="15"/>
        <v>301670</v>
      </c>
      <c r="C86" s="9"/>
      <c r="D86" s="79">
        <v>45152</v>
      </c>
      <c r="E86" s="60">
        <v>-4400</v>
      </c>
      <c r="F86" s="62" t="s">
        <v>2</v>
      </c>
      <c r="G86" s="2"/>
      <c r="H86" s="2" t="s">
        <v>90</v>
      </c>
      <c r="I86" s="2"/>
      <c r="J86" s="128">
        <f>Table1512[[#This Row],[Miktar]]+J85</f>
        <v>19600</v>
      </c>
    </row>
    <row r="87" spans="1:10" x14ac:dyDescent="0.2">
      <c r="B87" s="37">
        <f t="shared" si="15"/>
        <v>301680</v>
      </c>
      <c r="C87" s="9"/>
      <c r="D87" s="79">
        <v>45154</v>
      </c>
      <c r="E87" s="13">
        <v>-19600</v>
      </c>
      <c r="F87" s="62" t="s">
        <v>4</v>
      </c>
      <c r="G87" s="2"/>
      <c r="H87" s="2" t="s">
        <v>90</v>
      </c>
      <c r="I87" s="2"/>
      <c r="J87" s="128">
        <f>Table1512[[#This Row],[Miktar]]+J86</f>
        <v>0</v>
      </c>
    </row>
    <row r="88" spans="1:10" x14ac:dyDescent="0.2">
      <c r="B88" s="37">
        <f t="shared" si="15"/>
        <v>301690</v>
      </c>
      <c r="C88" s="9">
        <f t="shared" ref="C88" si="24">D88</f>
        <v>45170</v>
      </c>
      <c r="D88" s="79">
        <v>45170</v>
      </c>
      <c r="E88" s="76">
        <v>24000</v>
      </c>
      <c r="F88" s="12" t="s">
        <v>0</v>
      </c>
      <c r="G88" s="12"/>
      <c r="H88" s="2" t="s">
        <v>88</v>
      </c>
      <c r="I88" s="12" t="s">
        <v>86</v>
      </c>
      <c r="J88" s="128">
        <f>Table1512[[#This Row],[Miktar]]+J87</f>
        <v>24000</v>
      </c>
    </row>
    <row r="89" spans="1:10" x14ac:dyDescent="0.2">
      <c r="B89" s="22">
        <f t="shared" si="15"/>
        <v>301700</v>
      </c>
      <c r="C89" s="9"/>
      <c r="D89" s="79">
        <v>45182</v>
      </c>
      <c r="E89" s="60">
        <v>-4400</v>
      </c>
      <c r="F89" s="62" t="s">
        <v>2</v>
      </c>
      <c r="G89" s="2"/>
      <c r="H89" s="2" t="s">
        <v>90</v>
      </c>
      <c r="I89" s="2"/>
      <c r="J89" s="128">
        <f>Table1512[[#This Row],[Miktar]]+J88</f>
        <v>19600</v>
      </c>
    </row>
    <row r="90" spans="1:10" ht="17" thickBot="1" x14ac:dyDescent="0.25">
      <c r="B90" s="65">
        <f t="shared" si="15"/>
        <v>301710</v>
      </c>
      <c r="C90" s="33"/>
      <c r="D90" s="82">
        <v>45184</v>
      </c>
      <c r="E90" s="66">
        <v>-19600</v>
      </c>
      <c r="F90" s="67" t="s">
        <v>4</v>
      </c>
      <c r="G90" s="10"/>
      <c r="H90" s="2" t="s">
        <v>90</v>
      </c>
      <c r="I90" s="10"/>
      <c r="J90" s="214">
        <f>Table1512[[#This Row],[Miktar]]+J89</f>
        <v>0</v>
      </c>
    </row>
    <row r="91" spans="1:10" ht="17" thickTop="1" x14ac:dyDescent="0.2">
      <c r="B91" s="37">
        <f>B90+10</f>
        <v>301720</v>
      </c>
      <c r="C91" s="9">
        <f t="shared" ref="C91" si="25">D91</f>
        <v>45200</v>
      </c>
      <c r="D91" s="79">
        <v>45200</v>
      </c>
      <c r="E91" s="121">
        <v>1400</v>
      </c>
      <c r="F91" s="12" t="s">
        <v>0</v>
      </c>
      <c r="G91" s="12"/>
      <c r="H91" s="2" t="s">
        <v>88</v>
      </c>
      <c r="I91" s="12" t="s">
        <v>86</v>
      </c>
      <c r="J91" s="128">
        <f>Table1512[[#This Row],[Miktar]]+J90</f>
        <v>1400</v>
      </c>
    </row>
    <row r="92" spans="1:10" x14ac:dyDescent="0.2">
      <c r="B92" s="22">
        <f t="shared" ref="B92:B157" si="26">B91+10</f>
        <v>301730</v>
      </c>
      <c r="C92" s="9"/>
      <c r="D92" s="79">
        <v>45218</v>
      </c>
      <c r="E92" s="130">
        <v>-163.47</v>
      </c>
      <c r="F92" s="62" t="s">
        <v>2</v>
      </c>
      <c r="G92" s="2" t="s">
        <v>149</v>
      </c>
      <c r="H92" s="2" t="s">
        <v>90</v>
      </c>
      <c r="I92" s="2"/>
      <c r="J92" s="128">
        <f>Table1512[[#This Row],[Miktar]]+J91</f>
        <v>1236.53</v>
      </c>
    </row>
    <row r="93" spans="1:10" x14ac:dyDescent="0.2">
      <c r="B93" s="37">
        <f t="shared" si="26"/>
        <v>301740</v>
      </c>
      <c r="C93" s="9"/>
      <c r="D93" s="79">
        <v>45218</v>
      </c>
      <c r="E93" s="121">
        <v>-1236.53</v>
      </c>
      <c r="F93" s="62" t="s">
        <v>3</v>
      </c>
      <c r="G93" s="12" t="s">
        <v>149</v>
      </c>
      <c r="H93" s="2" t="s">
        <v>89</v>
      </c>
      <c r="I93" s="12"/>
      <c r="J93" s="128">
        <f>Table1512[[#This Row],[Miktar]]+J92</f>
        <v>0</v>
      </c>
    </row>
    <row r="94" spans="1:10" x14ac:dyDescent="0.2">
      <c r="B94" s="37">
        <f t="shared" si="26"/>
        <v>301750</v>
      </c>
      <c r="C94" s="9">
        <f t="shared" ref="C94" si="27">D94</f>
        <v>44866</v>
      </c>
      <c r="D94" s="79">
        <v>44866</v>
      </c>
      <c r="E94" s="131">
        <f>E91</f>
        <v>1400</v>
      </c>
      <c r="F94" s="12" t="s">
        <v>0</v>
      </c>
      <c r="G94" s="12"/>
      <c r="H94" s="2" t="s">
        <v>88</v>
      </c>
      <c r="I94" s="12" t="s">
        <v>86</v>
      </c>
      <c r="J94" s="128">
        <f>Table1512[[#This Row],[Miktar]]+J93</f>
        <v>1400</v>
      </c>
    </row>
    <row r="95" spans="1:10" x14ac:dyDescent="0.2">
      <c r="B95" s="22">
        <f t="shared" si="26"/>
        <v>301760</v>
      </c>
      <c r="C95" s="9"/>
      <c r="D95" s="79">
        <v>45244</v>
      </c>
      <c r="E95" s="130">
        <v>-160</v>
      </c>
      <c r="F95" s="62" t="s">
        <v>2</v>
      </c>
      <c r="G95" s="2"/>
      <c r="H95" s="2" t="s">
        <v>90</v>
      </c>
      <c r="I95" s="2"/>
      <c r="J95" s="128">
        <f>Table1512[[#This Row],[Miktar]]+J94</f>
        <v>1240</v>
      </c>
    </row>
    <row r="96" spans="1:10" x14ac:dyDescent="0.2">
      <c r="B96" s="37">
        <f t="shared" si="26"/>
        <v>301770</v>
      </c>
      <c r="C96" s="9"/>
      <c r="D96" s="79">
        <v>45250</v>
      </c>
      <c r="E96" s="121">
        <v>-1240</v>
      </c>
      <c r="F96" s="62" t="s">
        <v>3</v>
      </c>
      <c r="G96" s="12"/>
      <c r="H96" s="2" t="s">
        <v>89</v>
      </c>
      <c r="I96" s="12"/>
      <c r="J96" s="128">
        <f>Table1512[[#This Row],[Miktar]]+J95</f>
        <v>0</v>
      </c>
    </row>
    <row r="97" spans="2:10" x14ac:dyDescent="0.2">
      <c r="B97" s="37">
        <f t="shared" si="26"/>
        <v>301780</v>
      </c>
      <c r="C97" s="9">
        <f t="shared" ref="C97" si="28">D97</f>
        <v>44896</v>
      </c>
      <c r="D97" s="79">
        <v>44896</v>
      </c>
      <c r="E97" s="131">
        <f>E94</f>
        <v>1400</v>
      </c>
      <c r="F97" s="12" t="s">
        <v>0</v>
      </c>
      <c r="G97" s="12"/>
      <c r="H97" s="2" t="s">
        <v>88</v>
      </c>
      <c r="I97" s="12" t="s">
        <v>86</v>
      </c>
      <c r="J97" s="128">
        <f>Table1512[[#This Row],[Miktar]]+J96</f>
        <v>1400</v>
      </c>
    </row>
    <row r="98" spans="2:10" x14ac:dyDescent="0.2">
      <c r="B98" s="22">
        <f t="shared" si="26"/>
        <v>301790</v>
      </c>
      <c r="C98" s="9"/>
      <c r="D98" s="79">
        <v>45277</v>
      </c>
      <c r="E98" s="130">
        <v>-158</v>
      </c>
      <c r="F98" s="62" t="s">
        <v>2</v>
      </c>
      <c r="G98" s="2"/>
      <c r="H98" s="2" t="s">
        <v>90</v>
      </c>
      <c r="I98" s="2"/>
      <c r="J98" s="128">
        <f>Table1512[[#This Row],[Miktar]]+J97</f>
        <v>1242</v>
      </c>
    </row>
    <row r="99" spans="2:10" x14ac:dyDescent="0.2">
      <c r="B99" s="37">
        <f t="shared" si="26"/>
        <v>301800</v>
      </c>
      <c r="C99" s="9"/>
      <c r="D99" s="79">
        <v>45278</v>
      </c>
      <c r="E99" s="121">
        <v>-1242</v>
      </c>
      <c r="F99" s="62" t="s">
        <v>3</v>
      </c>
      <c r="G99" s="2"/>
      <c r="H99" s="2" t="s">
        <v>89</v>
      </c>
      <c r="I99" s="2"/>
      <c r="J99" s="128">
        <f>Table1512[[#This Row],[Miktar]]+J98</f>
        <v>0</v>
      </c>
    </row>
    <row r="100" spans="2:10" x14ac:dyDescent="0.2">
      <c r="B100" s="37">
        <f t="shared" si="26"/>
        <v>301810</v>
      </c>
      <c r="C100" s="9">
        <f t="shared" ref="C100" si="29">D100</f>
        <v>45292</v>
      </c>
      <c r="D100" s="79">
        <v>45292</v>
      </c>
      <c r="E100" s="131">
        <f>E97</f>
        <v>1400</v>
      </c>
      <c r="F100" s="12" t="s">
        <v>0</v>
      </c>
      <c r="G100" s="12"/>
      <c r="H100" s="2" t="s">
        <v>88</v>
      </c>
      <c r="I100" s="12" t="s">
        <v>86</v>
      </c>
      <c r="J100" s="128">
        <f>Table1512[[#This Row],[Miktar]]+J99</f>
        <v>1400</v>
      </c>
    </row>
    <row r="101" spans="2:10" x14ac:dyDescent="0.2">
      <c r="B101" s="22">
        <f t="shared" si="26"/>
        <v>301820</v>
      </c>
      <c r="C101" s="9"/>
      <c r="D101" s="79">
        <v>45313</v>
      </c>
      <c r="E101" s="130">
        <v>-152</v>
      </c>
      <c r="F101" s="62" t="s">
        <v>2</v>
      </c>
      <c r="G101" s="2"/>
      <c r="H101" s="2" t="s">
        <v>90</v>
      </c>
      <c r="I101" s="2"/>
      <c r="J101" s="128">
        <f>Table1512[[#This Row],[Miktar]]+J100</f>
        <v>1248</v>
      </c>
    </row>
    <row r="102" spans="2:10" x14ac:dyDescent="0.2">
      <c r="B102" s="37">
        <f t="shared" si="26"/>
        <v>301830</v>
      </c>
      <c r="C102" s="9"/>
      <c r="D102" s="79">
        <v>45313</v>
      </c>
      <c r="E102" s="121">
        <v>-1248</v>
      </c>
      <c r="F102" s="62" t="s">
        <v>3</v>
      </c>
      <c r="G102" s="2"/>
      <c r="H102" s="2" t="s">
        <v>89</v>
      </c>
      <c r="I102" s="2"/>
      <c r="J102" s="128">
        <f>Table1512[[#This Row],[Miktar]]+J101</f>
        <v>0</v>
      </c>
    </row>
    <row r="103" spans="2:10" x14ac:dyDescent="0.2">
      <c r="B103" s="37">
        <f t="shared" si="26"/>
        <v>301840</v>
      </c>
      <c r="C103" s="9">
        <f t="shared" ref="C103" si="30">D103</f>
        <v>45323</v>
      </c>
      <c r="D103" s="79">
        <v>45323</v>
      </c>
      <c r="E103" s="131">
        <f>E100</f>
        <v>1400</v>
      </c>
      <c r="F103" s="12" t="s">
        <v>0</v>
      </c>
      <c r="G103" s="12"/>
      <c r="H103" s="2" t="s">
        <v>88</v>
      </c>
      <c r="I103" s="12" t="s">
        <v>86</v>
      </c>
      <c r="J103" s="128">
        <f>Table1512[[#This Row],[Miktar]]+J102</f>
        <v>1400</v>
      </c>
    </row>
    <row r="104" spans="2:10" x14ac:dyDescent="0.2">
      <c r="B104" s="22">
        <f t="shared" si="26"/>
        <v>301850</v>
      </c>
      <c r="C104" s="9"/>
      <c r="D104" s="79">
        <v>45345</v>
      </c>
      <c r="E104" s="130">
        <v>-148</v>
      </c>
      <c r="F104" s="62" t="s">
        <v>2</v>
      </c>
      <c r="G104" s="2"/>
      <c r="H104" s="2" t="s">
        <v>90</v>
      </c>
      <c r="I104" s="2"/>
      <c r="J104" s="128">
        <f>Table1512[[#This Row],[Miktar]]+J103</f>
        <v>1252</v>
      </c>
    </row>
    <row r="105" spans="2:10" x14ac:dyDescent="0.2">
      <c r="B105" s="37">
        <f t="shared" si="26"/>
        <v>301860</v>
      </c>
      <c r="C105" s="9"/>
      <c r="D105" s="79">
        <v>45348</v>
      </c>
      <c r="E105" s="121">
        <v>-1252</v>
      </c>
      <c r="F105" s="62" t="s">
        <v>3</v>
      </c>
      <c r="G105" s="2"/>
      <c r="H105" s="2" t="s">
        <v>89</v>
      </c>
      <c r="I105" s="2"/>
      <c r="J105" s="128">
        <f>Table1512[[#This Row],[Miktar]]+J104</f>
        <v>0</v>
      </c>
    </row>
    <row r="106" spans="2:10" x14ac:dyDescent="0.2">
      <c r="B106" s="37">
        <f t="shared" si="26"/>
        <v>301870</v>
      </c>
      <c r="C106" s="9">
        <f t="shared" ref="C106" si="31">D106</f>
        <v>44986</v>
      </c>
      <c r="D106" s="79">
        <v>44986</v>
      </c>
      <c r="E106" s="131">
        <f>E103</f>
        <v>1400</v>
      </c>
      <c r="F106" s="12" t="s">
        <v>0</v>
      </c>
      <c r="G106" s="12"/>
      <c r="H106" s="2" t="s">
        <v>88</v>
      </c>
      <c r="I106" s="12" t="s">
        <v>86</v>
      </c>
      <c r="J106" s="128">
        <f>Table1512[[#This Row],[Miktar]]+J105</f>
        <v>1400</v>
      </c>
    </row>
    <row r="107" spans="2:10" x14ac:dyDescent="0.2">
      <c r="B107" s="22">
        <f t="shared" si="26"/>
        <v>301880</v>
      </c>
      <c r="C107" s="9"/>
      <c r="D107" s="79">
        <v>45380</v>
      </c>
      <c r="E107" s="130">
        <v>-140</v>
      </c>
      <c r="F107" s="62" t="s">
        <v>2</v>
      </c>
      <c r="G107" s="2"/>
      <c r="H107" s="2" t="s">
        <v>90</v>
      </c>
      <c r="I107" s="2"/>
      <c r="J107" s="128">
        <f>Table1512[[#This Row],[Miktar]]+J106</f>
        <v>1260</v>
      </c>
    </row>
    <row r="108" spans="2:10" x14ac:dyDescent="0.2">
      <c r="B108" s="37">
        <f t="shared" si="26"/>
        <v>301890</v>
      </c>
      <c r="C108" s="9"/>
      <c r="D108" s="79">
        <v>45397</v>
      </c>
      <c r="E108" s="121">
        <v>-1260</v>
      </c>
      <c r="F108" s="62" t="s">
        <v>3</v>
      </c>
      <c r="G108" s="2"/>
      <c r="H108" s="2" t="s">
        <v>89</v>
      </c>
      <c r="I108" s="2"/>
      <c r="J108" s="128">
        <f>Table1512[[#This Row],[Miktar]]+J107</f>
        <v>0</v>
      </c>
    </row>
    <row r="109" spans="2:10" x14ac:dyDescent="0.2">
      <c r="B109" s="37">
        <f t="shared" si="26"/>
        <v>301900</v>
      </c>
      <c r="C109" s="9">
        <f t="shared" ref="C109" si="32">D109</f>
        <v>45017</v>
      </c>
      <c r="D109" s="79">
        <v>45017</v>
      </c>
      <c r="E109" s="131">
        <f>E106</f>
        <v>1400</v>
      </c>
      <c r="F109" s="12" t="s">
        <v>0</v>
      </c>
      <c r="G109" s="12"/>
      <c r="H109" s="2" t="s">
        <v>88</v>
      </c>
      <c r="I109" s="12" t="s">
        <v>86</v>
      </c>
      <c r="J109" s="128">
        <f>Table1512[[#This Row],[Miktar]]+J108</f>
        <v>1400</v>
      </c>
    </row>
    <row r="110" spans="2:10" x14ac:dyDescent="0.2">
      <c r="B110" s="37">
        <f t="shared" si="26"/>
        <v>301910</v>
      </c>
      <c r="C110" s="9"/>
      <c r="D110" s="87">
        <v>45424</v>
      </c>
      <c r="E110" s="121">
        <f>-1400-E111</f>
        <v>-143</v>
      </c>
      <c r="F110" s="12" t="s">
        <v>2</v>
      </c>
      <c r="G110" s="12" t="s">
        <v>223</v>
      </c>
      <c r="H110" s="2" t="s">
        <v>90</v>
      </c>
      <c r="I110" s="12"/>
      <c r="J110" s="121">
        <f>Table1512[[#This Row],[Miktar]]+J109</f>
        <v>1257</v>
      </c>
    </row>
    <row r="111" spans="2:10" x14ac:dyDescent="0.2">
      <c r="B111" s="37">
        <f t="shared" si="26"/>
        <v>301920</v>
      </c>
      <c r="C111" s="9"/>
      <c r="D111" s="87">
        <v>45425</v>
      </c>
      <c r="E111" s="121">
        <v>-1257</v>
      </c>
      <c r="F111" s="12" t="s">
        <v>3</v>
      </c>
      <c r="G111" s="12" t="s">
        <v>223</v>
      </c>
      <c r="H111" s="2" t="s">
        <v>89</v>
      </c>
      <c r="I111" s="12"/>
      <c r="J111" s="121">
        <f>Table1512[[#This Row],[Miktar]]+J110</f>
        <v>0</v>
      </c>
    </row>
    <row r="112" spans="2:10" x14ac:dyDescent="0.2">
      <c r="B112" s="37">
        <f t="shared" si="26"/>
        <v>301930</v>
      </c>
      <c r="C112" s="9">
        <f t="shared" ref="C112" si="33">D112</f>
        <v>45047</v>
      </c>
      <c r="D112" s="87">
        <v>45047</v>
      </c>
      <c r="E112" s="121">
        <f>E109</f>
        <v>1400</v>
      </c>
      <c r="F112" s="12" t="s">
        <v>0</v>
      </c>
      <c r="G112" s="12"/>
      <c r="H112" s="2" t="s">
        <v>88</v>
      </c>
      <c r="I112" s="12" t="s">
        <v>86</v>
      </c>
      <c r="J112" s="121">
        <f>Table1512[[#This Row],[Miktar]]+J111</f>
        <v>1400</v>
      </c>
    </row>
    <row r="113" spans="2:10" x14ac:dyDescent="0.2">
      <c r="B113" s="37">
        <f t="shared" si="26"/>
        <v>301940</v>
      </c>
      <c r="C113" s="9"/>
      <c r="D113" s="87">
        <v>45454</v>
      </c>
      <c r="E113" s="121">
        <f>-1400-E114</f>
        <v>-143</v>
      </c>
      <c r="F113" s="12" t="s">
        <v>2</v>
      </c>
      <c r="G113" s="12" t="s">
        <v>223</v>
      </c>
      <c r="H113" s="2" t="s">
        <v>90</v>
      </c>
      <c r="I113" s="12"/>
      <c r="J113" s="121">
        <f>Table1512[[#This Row],[Miktar]]+J112</f>
        <v>1257</v>
      </c>
    </row>
    <row r="114" spans="2:10" x14ac:dyDescent="0.2">
      <c r="B114" s="37">
        <f t="shared" si="26"/>
        <v>301950</v>
      </c>
      <c r="C114" s="9"/>
      <c r="D114" s="87">
        <v>45454</v>
      </c>
      <c r="E114" s="121">
        <v>-1257</v>
      </c>
      <c r="F114" s="12" t="s">
        <v>3</v>
      </c>
      <c r="G114" s="12" t="s">
        <v>223</v>
      </c>
      <c r="H114" s="2" t="s">
        <v>89</v>
      </c>
      <c r="I114" s="12"/>
      <c r="J114" s="121">
        <f>Table1512[[#This Row],[Miktar]]+J113</f>
        <v>0</v>
      </c>
    </row>
    <row r="115" spans="2:10" x14ac:dyDescent="0.2">
      <c r="B115" s="37">
        <f t="shared" si="26"/>
        <v>301960</v>
      </c>
      <c r="C115" s="9">
        <f t="shared" ref="C115" si="34">D115</f>
        <v>45444</v>
      </c>
      <c r="D115" s="79">
        <v>45444</v>
      </c>
      <c r="E115" s="131">
        <f>E112</f>
        <v>1400</v>
      </c>
      <c r="F115" s="12" t="s">
        <v>0</v>
      </c>
      <c r="G115" s="12"/>
      <c r="H115" s="2" t="s">
        <v>88</v>
      </c>
      <c r="I115" s="12" t="s">
        <v>86</v>
      </c>
      <c r="J115" s="121">
        <f>Table1512[[#This Row],[Miktar]]+J114</f>
        <v>1400</v>
      </c>
    </row>
    <row r="116" spans="2:10" x14ac:dyDescent="0.2">
      <c r="B116" s="37">
        <f t="shared" si="26"/>
        <v>301970</v>
      </c>
      <c r="C116" s="9"/>
      <c r="D116" s="79">
        <v>45465</v>
      </c>
      <c r="E116" s="130">
        <v>-140</v>
      </c>
      <c r="F116" s="12" t="s">
        <v>2</v>
      </c>
      <c r="G116" s="12"/>
      <c r="H116" s="2" t="s">
        <v>90</v>
      </c>
      <c r="I116" s="12"/>
      <c r="J116" s="121">
        <f>Table1512[[#This Row],[Miktar]]+J115</f>
        <v>1260</v>
      </c>
    </row>
    <row r="117" spans="2:10" x14ac:dyDescent="0.2">
      <c r="B117" s="37">
        <f t="shared" si="26"/>
        <v>301980</v>
      </c>
      <c r="C117" s="9"/>
      <c r="D117" s="79">
        <v>45467</v>
      </c>
      <c r="E117" s="121">
        <v>-1260</v>
      </c>
      <c r="F117" s="12" t="s">
        <v>3</v>
      </c>
      <c r="G117" s="12"/>
      <c r="H117" s="2" t="s">
        <v>89</v>
      </c>
      <c r="I117" s="12"/>
      <c r="J117" s="121">
        <f>Table1512[[#This Row],[Miktar]]+J116</f>
        <v>0</v>
      </c>
    </row>
    <row r="118" spans="2:10" x14ac:dyDescent="0.2">
      <c r="B118" s="37">
        <f t="shared" si="26"/>
        <v>301990</v>
      </c>
      <c r="C118" s="9">
        <f t="shared" ref="C118" si="35">D118</f>
        <v>45474</v>
      </c>
      <c r="D118" s="79">
        <v>45474</v>
      </c>
      <c r="E118" s="131">
        <f>E115</f>
        <v>1400</v>
      </c>
      <c r="F118" s="12" t="s">
        <v>0</v>
      </c>
      <c r="G118" s="12"/>
      <c r="H118" s="2" t="s">
        <v>88</v>
      </c>
      <c r="I118" s="12" t="s">
        <v>86</v>
      </c>
      <c r="J118" s="121">
        <f>Table1512[[#This Row],[Miktar]]+J117</f>
        <v>1400</v>
      </c>
    </row>
    <row r="119" spans="2:10" x14ac:dyDescent="0.2">
      <c r="B119" s="37">
        <f t="shared" si="26"/>
        <v>302000</v>
      </c>
      <c r="C119" s="9"/>
      <c r="D119" s="79">
        <v>45488</v>
      </c>
      <c r="E119" s="121">
        <f>-4600/(8200/240)</f>
        <v>-134.63414634146343</v>
      </c>
      <c r="F119" s="12" t="s">
        <v>2</v>
      </c>
      <c r="G119" s="12">
        <v>4600</v>
      </c>
      <c r="H119" s="2" t="s">
        <v>90</v>
      </c>
      <c r="I119" s="12"/>
      <c r="J119" s="121">
        <f>Table1512[[#This Row],[Miktar]]+J118</f>
        <v>1265.3658536585365</v>
      </c>
    </row>
    <row r="120" spans="2:10" x14ac:dyDescent="0.2">
      <c r="B120" s="37">
        <f t="shared" si="26"/>
        <v>302010</v>
      </c>
      <c r="C120" s="9"/>
      <c r="D120" s="79">
        <v>45490</v>
      </c>
      <c r="E120" s="190">
        <f>-(1160+3600/(8200/240))</f>
        <v>-1265.3658536585367</v>
      </c>
      <c r="F120" s="12" t="s">
        <v>3</v>
      </c>
      <c r="G120" s="2"/>
      <c r="H120" s="2" t="s">
        <v>89</v>
      </c>
      <c r="I120" s="2"/>
      <c r="J120" s="121">
        <f>Table1512[[#This Row],[Miktar]]+J119</f>
        <v>0</v>
      </c>
    </row>
    <row r="121" spans="2:10" x14ac:dyDescent="0.2">
      <c r="B121" s="37">
        <f t="shared" si="26"/>
        <v>302020</v>
      </c>
      <c r="C121" s="9">
        <f t="shared" ref="C121" si="36">D121</f>
        <v>45505</v>
      </c>
      <c r="D121" s="79">
        <v>45505</v>
      </c>
      <c r="E121" s="131">
        <f>E118</f>
        <v>1400</v>
      </c>
      <c r="F121" s="12" t="s">
        <v>0</v>
      </c>
      <c r="G121" s="12"/>
      <c r="H121" s="2" t="s">
        <v>88</v>
      </c>
      <c r="I121" s="12" t="s">
        <v>86</v>
      </c>
      <c r="J121" s="121">
        <f>Table1512[[#This Row],[Miktar]]+J120</f>
        <v>1400</v>
      </c>
    </row>
    <row r="122" spans="2:10" x14ac:dyDescent="0.2">
      <c r="B122" s="37">
        <f t="shared" si="26"/>
        <v>302030</v>
      </c>
      <c r="C122" s="9"/>
      <c r="D122" s="79">
        <v>45523</v>
      </c>
      <c r="E122" s="130">
        <v>-136</v>
      </c>
      <c r="F122" s="12" t="s">
        <v>2</v>
      </c>
      <c r="G122" s="12"/>
      <c r="H122" s="2" t="s">
        <v>90</v>
      </c>
      <c r="I122" s="12"/>
      <c r="J122" s="121">
        <f>Table1512[[#This Row],[Miktar]]+J121</f>
        <v>1264</v>
      </c>
    </row>
    <row r="123" spans="2:10" x14ac:dyDescent="0.2">
      <c r="B123" s="37">
        <f t="shared" si="26"/>
        <v>302040</v>
      </c>
      <c r="C123" s="9"/>
      <c r="D123" s="79">
        <v>45523</v>
      </c>
      <c r="E123" s="121">
        <v>-1264</v>
      </c>
      <c r="F123" s="12" t="s">
        <v>3</v>
      </c>
      <c r="G123" s="12"/>
      <c r="H123" s="2" t="s">
        <v>89</v>
      </c>
      <c r="I123" s="12"/>
      <c r="J123" s="121">
        <f>Table1512[[#This Row],[Miktar]]+J122</f>
        <v>0</v>
      </c>
    </row>
    <row r="124" spans="2:10" x14ac:dyDescent="0.2">
      <c r="B124" s="37">
        <f t="shared" si="26"/>
        <v>302050</v>
      </c>
      <c r="C124" s="9">
        <f t="shared" ref="C124" si="37">D124</f>
        <v>45536</v>
      </c>
      <c r="D124" s="79">
        <v>45536</v>
      </c>
      <c r="E124" s="131">
        <f>E121</f>
        <v>1400</v>
      </c>
      <c r="F124" s="12" t="s">
        <v>0</v>
      </c>
      <c r="G124" s="12"/>
      <c r="H124" s="2" t="s">
        <v>88</v>
      </c>
      <c r="I124" s="12" t="s">
        <v>86</v>
      </c>
      <c r="J124" s="121">
        <f>Table1512[[#This Row],[Miktar]]+J123</f>
        <v>1400</v>
      </c>
    </row>
    <row r="125" spans="2:10" x14ac:dyDescent="0.2">
      <c r="B125" s="37">
        <f t="shared" si="26"/>
        <v>302060</v>
      </c>
      <c r="C125" s="9"/>
      <c r="D125" s="79">
        <v>45555</v>
      </c>
      <c r="E125" s="130">
        <v>-135</v>
      </c>
      <c r="F125" s="12" t="s">
        <v>2</v>
      </c>
      <c r="G125" s="12"/>
      <c r="H125" s="2" t="s">
        <v>90</v>
      </c>
      <c r="I125" s="12"/>
      <c r="J125" s="121">
        <f>Table1512[[#This Row],[Miktar]]+J124</f>
        <v>1265</v>
      </c>
    </row>
    <row r="126" spans="2:10" ht="17" thickBot="1" x14ac:dyDescent="0.25">
      <c r="B126" s="65">
        <f t="shared" si="26"/>
        <v>302070</v>
      </c>
      <c r="C126" s="33"/>
      <c r="D126" s="82">
        <v>45558</v>
      </c>
      <c r="E126" s="214">
        <v>-1265</v>
      </c>
      <c r="F126" s="10" t="s">
        <v>3</v>
      </c>
      <c r="G126" s="10"/>
      <c r="H126" s="10" t="s">
        <v>89</v>
      </c>
      <c r="I126" s="10"/>
      <c r="J126" s="214">
        <f>Table1512[[#This Row],[Miktar]]+J125</f>
        <v>0</v>
      </c>
    </row>
    <row r="127" spans="2:10" ht="17" thickTop="1" x14ac:dyDescent="0.2">
      <c r="B127" s="37">
        <f>B126+10</f>
        <v>302080</v>
      </c>
      <c r="C127" s="9">
        <f t="shared" ref="C127" si="38">D127</f>
        <v>45566</v>
      </c>
      <c r="D127" s="79">
        <v>45566</v>
      </c>
      <c r="E127" s="121">
        <v>1550</v>
      </c>
      <c r="F127" s="12" t="s">
        <v>0</v>
      </c>
      <c r="G127" s="12"/>
      <c r="H127" s="2" t="s">
        <v>88</v>
      </c>
      <c r="I127" s="12" t="s">
        <v>86</v>
      </c>
      <c r="J127" s="121">
        <f>Table1512[[#This Row],[Miktar]]+J126</f>
        <v>1550</v>
      </c>
    </row>
    <row r="128" spans="2:10" x14ac:dyDescent="0.2">
      <c r="B128" s="37">
        <v>302085</v>
      </c>
      <c r="C128" s="9"/>
      <c r="D128" s="79"/>
      <c r="E128" s="121">
        <v>-150</v>
      </c>
      <c r="F128" s="12" t="s">
        <v>398</v>
      </c>
      <c r="G128" s="12"/>
      <c r="H128" s="2"/>
      <c r="I128" s="12"/>
      <c r="J128" s="121">
        <f>Table1512[[#This Row],[Miktar]]+J127</f>
        <v>1400</v>
      </c>
    </row>
    <row r="129" spans="2:10" x14ac:dyDescent="0.2">
      <c r="B129" s="22">
        <f>B127+10</f>
        <v>302090</v>
      </c>
      <c r="C129" s="9"/>
      <c r="D129" s="79">
        <v>45585</v>
      </c>
      <c r="E129" s="130">
        <v>-136</v>
      </c>
      <c r="F129" s="12" t="s">
        <v>2</v>
      </c>
      <c r="G129" s="12"/>
      <c r="H129" s="2" t="s">
        <v>90</v>
      </c>
      <c r="I129" s="12"/>
      <c r="J129" s="121">
        <f>Table1512[[#This Row],[Miktar]]+J128</f>
        <v>1264</v>
      </c>
    </row>
    <row r="130" spans="2:10" x14ac:dyDescent="0.2">
      <c r="B130" s="187">
        <f t="shared" si="26"/>
        <v>302100</v>
      </c>
      <c r="C130" s="188"/>
      <c r="D130" s="189">
        <v>45587</v>
      </c>
      <c r="E130" s="190">
        <v>-1264</v>
      </c>
      <c r="F130" s="191" t="s">
        <v>3</v>
      </c>
      <c r="G130" s="191"/>
      <c r="H130" s="191" t="s">
        <v>89</v>
      </c>
      <c r="I130" s="191"/>
      <c r="J130" s="190">
        <f>Table1512[[#This Row],[Miktar]]+J129</f>
        <v>0</v>
      </c>
    </row>
    <row r="131" spans="2:10" x14ac:dyDescent="0.2">
      <c r="B131" s="299">
        <f t="shared" si="26"/>
        <v>302110</v>
      </c>
      <c r="C131" s="56">
        <f t="shared" ref="C131" si="39">D131</f>
        <v>45597</v>
      </c>
      <c r="D131" s="93">
        <v>45597</v>
      </c>
      <c r="E131" s="207">
        <v>1550</v>
      </c>
      <c r="F131" s="58" t="s">
        <v>0</v>
      </c>
      <c r="G131" s="58"/>
      <c r="H131" s="58" t="s">
        <v>88</v>
      </c>
      <c r="I131" s="58" t="s">
        <v>86</v>
      </c>
      <c r="J131" s="121">
        <f>Table1512[[#This Row],[Miktar]]+J130</f>
        <v>1550</v>
      </c>
    </row>
    <row r="132" spans="2:10" x14ac:dyDescent="0.2">
      <c r="B132" s="37">
        <v>302115</v>
      </c>
      <c r="C132" s="9"/>
      <c r="D132" s="87"/>
      <c r="E132" s="121">
        <v>-150</v>
      </c>
      <c r="F132" s="12" t="s">
        <v>398</v>
      </c>
      <c r="G132" s="12"/>
      <c r="H132" s="12"/>
      <c r="I132" s="12"/>
      <c r="J132" s="121">
        <f>Table1512[[#This Row],[Miktar]]+J131</f>
        <v>1400</v>
      </c>
    </row>
    <row r="133" spans="2:10" x14ac:dyDescent="0.2">
      <c r="B133" s="37">
        <f>B131+10</f>
        <v>302120</v>
      </c>
      <c r="C133" s="9"/>
      <c r="D133" s="87">
        <v>45624</v>
      </c>
      <c r="E133" s="130">
        <v>-133</v>
      </c>
      <c r="F133" s="12" t="s">
        <v>2</v>
      </c>
      <c r="G133" s="12"/>
      <c r="H133" s="12" t="s">
        <v>90</v>
      </c>
      <c r="I133" s="12"/>
      <c r="J133" s="121">
        <f>Table1512[[#This Row],[Miktar]]+J132</f>
        <v>1267</v>
      </c>
    </row>
    <row r="134" spans="2:10" x14ac:dyDescent="0.2">
      <c r="B134" s="187">
        <f t="shared" si="26"/>
        <v>302130</v>
      </c>
      <c r="C134" s="188"/>
      <c r="D134" s="189">
        <v>45625</v>
      </c>
      <c r="E134" s="190">
        <v>-1267</v>
      </c>
      <c r="F134" s="191" t="s">
        <v>3</v>
      </c>
      <c r="G134" s="191"/>
      <c r="H134" s="191" t="s">
        <v>89</v>
      </c>
      <c r="I134" s="191"/>
      <c r="J134" s="190">
        <f>Table1512[[#This Row],[Miktar]]+J133</f>
        <v>0</v>
      </c>
    </row>
    <row r="135" spans="2:10" x14ac:dyDescent="0.2">
      <c r="B135" s="299">
        <f t="shared" si="26"/>
        <v>302140</v>
      </c>
      <c r="C135" s="56">
        <f t="shared" ref="C135" si="40">D135</f>
        <v>45627</v>
      </c>
      <c r="D135" s="93">
        <v>45627</v>
      </c>
      <c r="E135" s="207">
        <v>1550</v>
      </c>
      <c r="F135" s="58" t="s">
        <v>0</v>
      </c>
      <c r="G135" s="58"/>
      <c r="H135" s="58"/>
      <c r="I135" s="58" t="s">
        <v>86</v>
      </c>
      <c r="J135" s="121">
        <f>Table1512[[#This Row],[Miktar]]+J134</f>
        <v>1550</v>
      </c>
    </row>
    <row r="136" spans="2:10" x14ac:dyDescent="0.2">
      <c r="B136" s="37">
        <f t="shared" si="26"/>
        <v>302150</v>
      </c>
      <c r="C136" s="9"/>
      <c r="D136" s="87">
        <v>45681</v>
      </c>
      <c r="E136" s="130">
        <f>-4600/((4600+50700)/1550)</f>
        <v>-128.93309222423144</v>
      </c>
      <c r="F136" s="12" t="s">
        <v>2</v>
      </c>
      <c r="G136" s="12"/>
      <c r="H136" s="12"/>
      <c r="I136" s="12"/>
      <c r="J136" s="121">
        <f>Table1512[[#This Row],[Miktar]]+J135</f>
        <v>1421.0669077757686</v>
      </c>
    </row>
    <row r="137" spans="2:10" x14ac:dyDescent="0.2">
      <c r="B137" s="187">
        <f t="shared" si="26"/>
        <v>302160</v>
      </c>
      <c r="C137" s="188"/>
      <c r="D137" s="189">
        <v>45681</v>
      </c>
      <c r="E137" s="190">
        <f>-50700/((4600+50700)/1550)</f>
        <v>-1421.0669077757684</v>
      </c>
      <c r="F137" s="191" t="s">
        <v>3</v>
      </c>
      <c r="G137" s="191"/>
      <c r="H137" s="191"/>
      <c r="I137" s="191"/>
      <c r="J137" s="190">
        <f>Table1512[[#This Row],[Miktar]]+J136</f>
        <v>0</v>
      </c>
    </row>
    <row r="138" spans="2:10" x14ac:dyDescent="0.2">
      <c r="B138" s="37">
        <f t="shared" si="26"/>
        <v>302170</v>
      </c>
      <c r="C138" s="9">
        <f t="shared" ref="C138" si="41">D138</f>
        <v>45658</v>
      </c>
      <c r="D138" s="79">
        <v>45658</v>
      </c>
      <c r="E138" s="121">
        <v>1550</v>
      </c>
      <c r="F138" s="58" t="s">
        <v>0</v>
      </c>
      <c r="G138" s="12"/>
      <c r="H138" s="12"/>
      <c r="I138" s="12" t="s">
        <v>86</v>
      </c>
      <c r="J138" s="128">
        <f>Table1512[[#This Row],[Miktar]]+J137</f>
        <v>1550</v>
      </c>
    </row>
    <row r="139" spans="2:10" x14ac:dyDescent="0.2">
      <c r="B139" s="22">
        <f t="shared" si="26"/>
        <v>302180</v>
      </c>
      <c r="C139" s="9"/>
      <c r="D139" s="87">
        <v>45709</v>
      </c>
      <c r="E139" s="130">
        <v>-192</v>
      </c>
      <c r="F139" s="12" t="s">
        <v>2</v>
      </c>
      <c r="G139" s="12"/>
      <c r="H139" s="2"/>
      <c r="I139" s="2"/>
      <c r="J139" s="128">
        <f>Table1512[[#This Row],[Miktar]]+J138</f>
        <v>1358</v>
      </c>
    </row>
    <row r="140" spans="2:10" x14ac:dyDescent="0.2">
      <c r="B140" s="187">
        <f t="shared" si="26"/>
        <v>302190</v>
      </c>
      <c r="C140" s="188"/>
      <c r="D140" s="189">
        <v>45712</v>
      </c>
      <c r="E140" s="190">
        <v>-1358</v>
      </c>
      <c r="F140" s="191" t="s">
        <v>3</v>
      </c>
      <c r="G140" s="191"/>
      <c r="H140" s="191"/>
      <c r="I140" s="191"/>
      <c r="J140" s="190">
        <f>Table1512[[#This Row],[Miktar]]+J139</f>
        <v>0</v>
      </c>
    </row>
    <row r="141" spans="2:10" x14ac:dyDescent="0.2">
      <c r="B141" s="37">
        <f t="shared" si="26"/>
        <v>302200</v>
      </c>
      <c r="C141" s="9">
        <f t="shared" ref="C141" si="42">D141</f>
        <v>45689</v>
      </c>
      <c r="D141" s="87">
        <v>45689</v>
      </c>
      <c r="E141" s="121">
        <v>1550</v>
      </c>
      <c r="F141" s="12" t="s">
        <v>0</v>
      </c>
      <c r="G141" s="12"/>
      <c r="H141" s="12"/>
      <c r="I141" s="12" t="s">
        <v>86</v>
      </c>
      <c r="J141" s="121">
        <f>Table1512[[#This Row],[Miktar]]+J140</f>
        <v>1550</v>
      </c>
    </row>
    <row r="142" spans="2:10" x14ac:dyDescent="0.2">
      <c r="B142" s="37">
        <f t="shared" si="26"/>
        <v>302210</v>
      </c>
      <c r="C142" s="9"/>
      <c r="D142" s="87">
        <v>45754</v>
      </c>
      <c r="E142" s="130">
        <v>-183</v>
      </c>
      <c r="F142" s="12" t="s">
        <v>2</v>
      </c>
      <c r="G142" s="12"/>
      <c r="H142" s="12" t="s">
        <v>90</v>
      </c>
      <c r="I142" s="12"/>
      <c r="J142" s="121">
        <f>Table1512[[#This Row],[Miktar]]+J141</f>
        <v>1367</v>
      </c>
    </row>
    <row r="143" spans="2:10" x14ac:dyDescent="0.2">
      <c r="B143" s="187">
        <f t="shared" si="26"/>
        <v>302220</v>
      </c>
      <c r="C143" s="188"/>
      <c r="D143" s="189">
        <v>45754</v>
      </c>
      <c r="E143" s="190">
        <v>-1367</v>
      </c>
      <c r="F143" s="191" t="s">
        <v>3</v>
      </c>
      <c r="G143" s="191"/>
      <c r="H143" s="191"/>
      <c r="I143" s="191"/>
      <c r="J143" s="190">
        <f>Table1512[[#This Row],[Miktar]]+J142</f>
        <v>0</v>
      </c>
    </row>
    <row r="144" spans="2:10" x14ac:dyDescent="0.2">
      <c r="B144" s="37">
        <f t="shared" si="26"/>
        <v>302230</v>
      </c>
      <c r="C144" s="9">
        <f t="shared" ref="C144" si="43">D144</f>
        <v>45717</v>
      </c>
      <c r="D144" s="87">
        <v>45717</v>
      </c>
      <c r="E144" s="121">
        <v>1550</v>
      </c>
      <c r="F144" s="12" t="s">
        <v>0</v>
      </c>
      <c r="G144" s="12"/>
      <c r="H144" s="12"/>
      <c r="I144" s="12" t="s">
        <v>86</v>
      </c>
      <c r="J144" s="121">
        <f>Table1512[[#This Row],[Miktar]]+J143</f>
        <v>1550</v>
      </c>
    </row>
    <row r="145" spans="2:10" x14ac:dyDescent="0.2">
      <c r="B145" s="37">
        <f t="shared" si="26"/>
        <v>302240</v>
      </c>
      <c r="C145" s="9"/>
      <c r="D145" s="87">
        <v>45774</v>
      </c>
      <c r="E145" s="130">
        <v>-185</v>
      </c>
      <c r="F145" s="12" t="s">
        <v>2</v>
      </c>
      <c r="G145" s="12"/>
      <c r="H145" s="12"/>
      <c r="I145" s="12"/>
      <c r="J145" s="121">
        <f>Table1512[[#This Row],[Miktar]]+J144</f>
        <v>1365</v>
      </c>
    </row>
    <row r="146" spans="2:10" x14ac:dyDescent="0.2">
      <c r="B146" s="187">
        <f t="shared" si="26"/>
        <v>302250</v>
      </c>
      <c r="C146" s="188"/>
      <c r="D146" s="189">
        <v>45775</v>
      </c>
      <c r="E146" s="190">
        <v>-1365</v>
      </c>
      <c r="F146" s="191" t="s">
        <v>3</v>
      </c>
      <c r="G146" s="191"/>
      <c r="H146" s="191"/>
      <c r="I146" s="191"/>
      <c r="J146" s="190">
        <f>Table1512[[#This Row],[Miktar]]+J145</f>
        <v>0</v>
      </c>
    </row>
    <row r="147" spans="2:10" x14ac:dyDescent="0.2">
      <c r="B147" s="299">
        <f t="shared" si="26"/>
        <v>302260</v>
      </c>
      <c r="C147" s="56">
        <f t="shared" ref="C147" si="44">D147</f>
        <v>45748</v>
      </c>
      <c r="D147" s="93">
        <v>45748</v>
      </c>
      <c r="E147" s="121">
        <v>1550</v>
      </c>
      <c r="F147" s="12" t="s">
        <v>0</v>
      </c>
      <c r="G147" s="58"/>
      <c r="H147" s="58"/>
      <c r="I147" s="58" t="s">
        <v>86</v>
      </c>
      <c r="J147" s="121">
        <f>Table1512[[#This Row],[Miktar]]+J146</f>
        <v>1550</v>
      </c>
    </row>
    <row r="148" spans="2:10" x14ac:dyDescent="0.2">
      <c r="B148" s="37">
        <f t="shared" si="26"/>
        <v>302270</v>
      </c>
      <c r="C148" s="9"/>
      <c r="D148" s="87">
        <v>45828</v>
      </c>
      <c r="E148" s="130">
        <v>-177.5</v>
      </c>
      <c r="F148" s="12" t="s">
        <v>2</v>
      </c>
      <c r="G148" s="12"/>
      <c r="H148" s="12"/>
      <c r="I148" s="12"/>
      <c r="J148" s="121">
        <f>Table1512[[#This Row],[Miktar]]+J147</f>
        <v>1372.5</v>
      </c>
    </row>
    <row r="149" spans="2:10" x14ac:dyDescent="0.2">
      <c r="B149" s="187">
        <f t="shared" si="26"/>
        <v>302280</v>
      </c>
      <c r="C149" s="188"/>
      <c r="D149" s="189">
        <v>45833</v>
      </c>
      <c r="E149" s="190">
        <v>0</v>
      </c>
      <c r="F149" s="191" t="s">
        <v>3</v>
      </c>
      <c r="G149" s="191"/>
      <c r="H149" s="191"/>
      <c r="I149" s="191"/>
      <c r="J149" s="190">
        <f>Table1512[[#This Row],[Miktar]]+J148</f>
        <v>1372.5</v>
      </c>
    </row>
    <row r="150" spans="2:10" x14ac:dyDescent="0.2">
      <c r="B150" s="299">
        <f t="shared" si="26"/>
        <v>302290</v>
      </c>
      <c r="C150" s="56">
        <f t="shared" ref="C150" si="45">D150</f>
        <v>45778</v>
      </c>
      <c r="D150" s="93">
        <v>45778</v>
      </c>
      <c r="E150" s="121">
        <v>1550</v>
      </c>
      <c r="F150" s="12" t="s">
        <v>0</v>
      </c>
      <c r="G150" s="58"/>
      <c r="H150" s="58"/>
      <c r="I150" s="58" t="s">
        <v>86</v>
      </c>
      <c r="J150" s="121">
        <f>Table1512[[#This Row],[Miktar]]+J149</f>
        <v>2922.5</v>
      </c>
    </row>
    <row r="151" spans="2:10" x14ac:dyDescent="0.2">
      <c r="B151" s="37">
        <f t="shared" si="26"/>
        <v>302300</v>
      </c>
      <c r="C151" s="9"/>
      <c r="D151" s="87">
        <v>45828</v>
      </c>
      <c r="E151" s="130">
        <v>-177.5</v>
      </c>
      <c r="F151" s="12" t="s">
        <v>2</v>
      </c>
      <c r="G151" s="12"/>
      <c r="H151" s="12"/>
      <c r="I151" s="12"/>
      <c r="J151" s="121">
        <f>Table1512[[#This Row],[Miktar]]+J150</f>
        <v>2745</v>
      </c>
    </row>
    <row r="152" spans="2:10" x14ac:dyDescent="0.2">
      <c r="B152" s="187">
        <f t="shared" si="26"/>
        <v>302310</v>
      </c>
      <c r="C152" s="188"/>
      <c r="D152" s="189">
        <v>45833</v>
      </c>
      <c r="E152" s="190">
        <v>-2745</v>
      </c>
      <c r="F152" s="191" t="s">
        <v>3</v>
      </c>
      <c r="G152" s="191"/>
      <c r="H152" s="191"/>
      <c r="I152" s="191"/>
      <c r="J152" s="190">
        <f>Table1512[[#This Row],[Miktar]]+J151</f>
        <v>0</v>
      </c>
    </row>
    <row r="153" spans="2:10" x14ac:dyDescent="0.2">
      <c r="B153" s="37">
        <f t="shared" si="26"/>
        <v>302320</v>
      </c>
      <c r="C153" s="56">
        <f t="shared" ref="C153" si="46">D153</f>
        <v>45809</v>
      </c>
      <c r="D153" s="93">
        <v>45809</v>
      </c>
      <c r="E153" s="121">
        <v>1550</v>
      </c>
      <c r="F153" s="12" t="s">
        <v>0</v>
      </c>
      <c r="G153" s="58"/>
      <c r="H153" s="58"/>
      <c r="I153" s="58" t="s">
        <v>86</v>
      </c>
      <c r="J153" s="121">
        <f>Table1512[[#This Row],[Miktar]]+J152</f>
        <v>1550</v>
      </c>
    </row>
    <row r="154" spans="2:10" x14ac:dyDescent="0.2">
      <c r="B154" s="37">
        <f t="shared" si="26"/>
        <v>302330</v>
      </c>
      <c r="C154" s="9"/>
      <c r="D154" s="87">
        <v>45898</v>
      </c>
      <c r="E154" s="121">
        <v>-171</v>
      </c>
      <c r="F154" s="12" t="s">
        <v>2</v>
      </c>
      <c r="G154" s="12"/>
      <c r="H154" s="12"/>
      <c r="I154" s="12"/>
      <c r="J154" s="121">
        <f>Table1512[[#This Row],[Miktar]]+J153</f>
        <v>1379</v>
      </c>
    </row>
    <row r="155" spans="2:10" x14ac:dyDescent="0.2">
      <c r="B155" s="187">
        <f t="shared" si="26"/>
        <v>302340</v>
      </c>
      <c r="C155" s="188"/>
      <c r="D155" s="189">
        <v>45898</v>
      </c>
      <c r="E155" s="190">
        <v>-1379</v>
      </c>
      <c r="F155" s="191" t="s">
        <v>3</v>
      </c>
      <c r="G155" s="191"/>
      <c r="H155" s="191"/>
      <c r="I155" s="191"/>
      <c r="J155" s="190">
        <f>Table1512[[#This Row],[Miktar]]+J154</f>
        <v>0</v>
      </c>
    </row>
    <row r="156" spans="2:10" x14ac:dyDescent="0.2">
      <c r="B156" s="37">
        <f t="shared" si="26"/>
        <v>302350</v>
      </c>
      <c r="C156" s="56">
        <f t="shared" ref="C156" si="47">D156</f>
        <v>45839</v>
      </c>
      <c r="D156" s="93">
        <v>45839</v>
      </c>
      <c r="E156" s="207">
        <v>1550</v>
      </c>
      <c r="F156" s="12" t="s">
        <v>0</v>
      </c>
      <c r="G156" s="58"/>
      <c r="H156" s="58"/>
      <c r="I156" s="58" t="s">
        <v>86</v>
      </c>
      <c r="J156" s="121">
        <f>Table1512[[#This Row],[Miktar]]+J155</f>
        <v>1550</v>
      </c>
    </row>
    <row r="157" spans="2:10" x14ac:dyDescent="0.2">
      <c r="B157" s="37">
        <f t="shared" si="26"/>
        <v>302360</v>
      </c>
      <c r="C157" s="9"/>
      <c r="D157" s="87">
        <v>45916</v>
      </c>
      <c r="E157" s="121">
        <v>-170</v>
      </c>
      <c r="F157" s="12" t="s">
        <v>2</v>
      </c>
      <c r="G157" s="12"/>
      <c r="H157" s="12"/>
      <c r="I157" s="12"/>
      <c r="J157" s="121">
        <f>Table1512[[#This Row],[Miktar]]+J156</f>
        <v>1380</v>
      </c>
    </row>
    <row r="158" spans="2:10" x14ac:dyDescent="0.2">
      <c r="B158" s="187">
        <f t="shared" ref="B158:B200" si="48">B157+10</f>
        <v>302370</v>
      </c>
      <c r="C158" s="188"/>
      <c r="D158" s="189">
        <v>45916</v>
      </c>
      <c r="E158" s="190">
        <v>-1380</v>
      </c>
      <c r="F158" s="191" t="s">
        <v>3</v>
      </c>
      <c r="G158" s="191"/>
      <c r="H158" s="191"/>
      <c r="I158" s="191"/>
      <c r="J158" s="190">
        <f>Table1512[[#This Row],[Miktar]]+J157</f>
        <v>0</v>
      </c>
    </row>
    <row r="159" spans="2:10" x14ac:dyDescent="0.2">
      <c r="B159" s="37">
        <f t="shared" si="48"/>
        <v>302380</v>
      </c>
      <c r="C159" s="56">
        <f t="shared" ref="C159" si="49">D159</f>
        <v>45870</v>
      </c>
      <c r="D159" s="93">
        <v>45870</v>
      </c>
      <c r="E159" s="207">
        <v>1550</v>
      </c>
      <c r="F159" s="58" t="s">
        <v>0</v>
      </c>
      <c r="G159" s="58"/>
      <c r="H159" s="58"/>
      <c r="I159" s="58" t="s">
        <v>86</v>
      </c>
      <c r="J159" s="207">
        <f>Table1512[[#This Row],[Miktar]]+J158</f>
        <v>1550</v>
      </c>
    </row>
    <row r="160" spans="2:10" x14ac:dyDescent="0.2">
      <c r="B160" s="37">
        <f t="shared" si="48"/>
        <v>302390</v>
      </c>
      <c r="C160" s="9"/>
      <c r="D160" s="87">
        <v>45985</v>
      </c>
      <c r="E160" s="121">
        <v>-166</v>
      </c>
      <c r="F160" s="12" t="s">
        <v>2</v>
      </c>
      <c r="G160" s="12"/>
      <c r="H160" s="12"/>
      <c r="I160" s="12"/>
      <c r="J160" s="121">
        <f>Table1512[[#This Row],[Miktar]]+J159</f>
        <v>1384</v>
      </c>
    </row>
    <row r="161" spans="2:10" x14ac:dyDescent="0.2">
      <c r="B161" s="187">
        <f t="shared" si="48"/>
        <v>302400</v>
      </c>
      <c r="C161" s="188"/>
      <c r="D161" s="189">
        <v>45985</v>
      </c>
      <c r="E161" s="190">
        <v>-1384</v>
      </c>
      <c r="F161" s="191" t="s">
        <v>3</v>
      </c>
      <c r="G161" s="191"/>
      <c r="H161" s="191"/>
      <c r="I161" s="191"/>
      <c r="J161" s="190">
        <f>Table1512[[#This Row],[Miktar]]+J160</f>
        <v>0</v>
      </c>
    </row>
    <row r="162" spans="2:10" x14ac:dyDescent="0.2">
      <c r="B162" s="37">
        <f t="shared" si="48"/>
        <v>302410</v>
      </c>
      <c r="C162" s="9">
        <f t="shared" ref="C162" si="50">D162</f>
        <v>45901</v>
      </c>
      <c r="D162" s="87">
        <v>45901</v>
      </c>
      <c r="E162" s="121">
        <v>1550</v>
      </c>
      <c r="F162" s="58" t="s">
        <v>0</v>
      </c>
      <c r="G162" s="12"/>
      <c r="H162" s="12"/>
      <c r="I162" s="12" t="s">
        <v>86</v>
      </c>
      <c r="J162" s="121">
        <f>Table1512[[#This Row],[Miktar]]+J161</f>
        <v>1550</v>
      </c>
    </row>
    <row r="163" spans="2:10" x14ac:dyDescent="0.2">
      <c r="B163" s="37">
        <f t="shared" si="48"/>
        <v>302420</v>
      </c>
      <c r="C163" s="9"/>
      <c r="D163" s="87">
        <v>46010</v>
      </c>
      <c r="E163" s="121">
        <v>-164</v>
      </c>
      <c r="F163" s="12" t="s">
        <v>2</v>
      </c>
      <c r="G163" s="12"/>
      <c r="H163" s="12"/>
      <c r="I163" s="12"/>
      <c r="J163" s="121">
        <f>Table1512[[#This Row],[Miktar]]+J162</f>
        <v>1386</v>
      </c>
    </row>
    <row r="164" spans="2:10" ht="17" thickBot="1" x14ac:dyDescent="0.25">
      <c r="B164" s="65">
        <f t="shared" si="48"/>
        <v>302430</v>
      </c>
      <c r="C164" s="33"/>
      <c r="D164" s="82"/>
      <c r="E164" s="214"/>
      <c r="F164" s="10" t="s">
        <v>88</v>
      </c>
      <c r="G164" s="10"/>
      <c r="H164" s="10"/>
      <c r="I164" s="10"/>
      <c r="J164" s="214">
        <f>Table1512[[#This Row],[Miktar]]+J163</f>
        <v>1386</v>
      </c>
    </row>
    <row r="165" spans="2:10" ht="17" thickTop="1" x14ac:dyDescent="0.2">
      <c r="B165" s="37">
        <f t="shared" si="48"/>
        <v>302440</v>
      </c>
      <c r="C165" s="9">
        <f t="shared" ref="C165" si="51">D165</f>
        <v>45931</v>
      </c>
      <c r="D165" s="87">
        <v>45931</v>
      </c>
      <c r="E165" s="121">
        <v>1700</v>
      </c>
      <c r="F165" s="12" t="s">
        <v>0</v>
      </c>
      <c r="G165" s="12" t="s">
        <v>80</v>
      </c>
      <c r="H165" s="2" t="s">
        <v>88</v>
      </c>
      <c r="I165" s="12" t="s">
        <v>86</v>
      </c>
      <c r="J165" s="121">
        <f>Table1512[[#This Row],[Miktar]]+J164</f>
        <v>3086</v>
      </c>
    </row>
    <row r="166" spans="2:10" x14ac:dyDescent="0.2">
      <c r="B166" s="37">
        <f t="shared" si="48"/>
        <v>302450</v>
      </c>
      <c r="C166" s="9"/>
      <c r="D166" s="87">
        <v>46010</v>
      </c>
      <c r="E166" s="121">
        <v>-164</v>
      </c>
      <c r="F166" s="12" t="s">
        <v>2</v>
      </c>
      <c r="G166" s="12"/>
      <c r="H166" s="2" t="s">
        <v>90</v>
      </c>
      <c r="I166" s="12"/>
      <c r="J166" s="121">
        <f>Table1512[[#This Row],[Miktar]]+J165</f>
        <v>2922</v>
      </c>
    </row>
    <row r="167" spans="2:10" x14ac:dyDescent="0.2">
      <c r="B167" s="187">
        <f t="shared" si="48"/>
        <v>302460</v>
      </c>
      <c r="C167" s="188"/>
      <c r="D167" s="189">
        <v>46010</v>
      </c>
      <c r="E167" s="190">
        <f>-1386*2</f>
        <v>-2772</v>
      </c>
      <c r="F167" s="191" t="s">
        <v>3</v>
      </c>
      <c r="G167" s="191"/>
      <c r="H167" s="191" t="s">
        <v>89</v>
      </c>
      <c r="I167" s="191"/>
      <c r="J167" s="121">
        <f>Table1512[[#This Row],[Miktar]]+J166</f>
        <v>150</v>
      </c>
    </row>
    <row r="168" spans="2:10" x14ac:dyDescent="0.2">
      <c r="B168" s="37">
        <f t="shared" si="48"/>
        <v>302470</v>
      </c>
      <c r="C168" s="56">
        <f t="shared" ref="C168" si="52">D168</f>
        <v>45962</v>
      </c>
      <c r="D168" s="93">
        <v>45962</v>
      </c>
      <c r="E168" s="207">
        <f>E165</f>
        <v>1700</v>
      </c>
      <c r="F168" s="58" t="s">
        <v>0</v>
      </c>
      <c r="G168" s="58"/>
      <c r="H168" s="58" t="s">
        <v>88</v>
      </c>
      <c r="I168" s="58" t="s">
        <v>86</v>
      </c>
      <c r="J168" s="207">
        <f>Table1512[[#This Row],[Miktar]]+J167</f>
        <v>1850</v>
      </c>
    </row>
    <row r="169" spans="2:10" x14ac:dyDescent="0.2">
      <c r="B169" s="37">
        <f t="shared" si="48"/>
        <v>302480</v>
      </c>
      <c r="C169" s="9"/>
      <c r="D169" s="87">
        <v>46035</v>
      </c>
      <c r="E169" s="130">
        <v>-225</v>
      </c>
      <c r="F169" s="12" t="s">
        <v>2</v>
      </c>
      <c r="G169" s="12"/>
      <c r="H169" s="12" t="s">
        <v>90</v>
      </c>
      <c r="I169" s="12"/>
      <c r="J169" s="121">
        <f>Table1512[[#This Row],[Miktar]]+J168</f>
        <v>1625</v>
      </c>
    </row>
    <row r="170" spans="2:10" x14ac:dyDescent="0.2">
      <c r="B170" s="187">
        <f t="shared" si="48"/>
        <v>302490</v>
      </c>
      <c r="C170" s="188"/>
      <c r="D170" s="189">
        <v>46035</v>
      </c>
      <c r="E170" s="121">
        <v>-1475</v>
      </c>
      <c r="F170" s="191" t="s">
        <v>3</v>
      </c>
      <c r="G170" s="12"/>
      <c r="H170" s="12" t="s">
        <v>89</v>
      </c>
      <c r="I170" s="12"/>
      <c r="J170" s="121">
        <f>Table1512[[#This Row],[Miktar]]+J169</f>
        <v>150</v>
      </c>
    </row>
    <row r="171" spans="2:10" x14ac:dyDescent="0.2">
      <c r="B171" s="37">
        <f t="shared" si="48"/>
        <v>302500</v>
      </c>
      <c r="C171" s="56">
        <f t="shared" ref="C171" si="53">D171</f>
        <v>45992</v>
      </c>
      <c r="D171" s="93">
        <v>45992</v>
      </c>
      <c r="E171" s="207">
        <f>E168</f>
        <v>1700</v>
      </c>
      <c r="F171" s="58" t="s">
        <v>0</v>
      </c>
      <c r="G171" s="58"/>
      <c r="H171" s="58" t="s">
        <v>88</v>
      </c>
      <c r="I171" s="58" t="s">
        <v>86</v>
      </c>
      <c r="J171" s="207">
        <f>Table1512[[#This Row],[Miktar]]+J170</f>
        <v>1850</v>
      </c>
    </row>
    <row r="172" spans="2:10" x14ac:dyDescent="0.2">
      <c r="B172" s="37">
        <f t="shared" si="48"/>
        <v>302510</v>
      </c>
      <c r="C172" s="9"/>
      <c r="D172" s="87">
        <v>46075</v>
      </c>
      <c r="E172" s="130">
        <v>-225</v>
      </c>
      <c r="F172" s="12" t="s">
        <v>2</v>
      </c>
      <c r="G172" s="12"/>
      <c r="H172" s="12" t="s">
        <v>90</v>
      </c>
      <c r="I172" s="12"/>
      <c r="J172" s="121">
        <f>Table1512[[#This Row],[Miktar]]+J171</f>
        <v>1625</v>
      </c>
    </row>
    <row r="173" spans="2:10" x14ac:dyDescent="0.2">
      <c r="B173" s="187">
        <f t="shared" si="48"/>
        <v>302520</v>
      </c>
      <c r="C173" s="9"/>
      <c r="D173" s="189">
        <v>46076</v>
      </c>
      <c r="E173" s="121">
        <v>-1475</v>
      </c>
      <c r="F173" s="191" t="s">
        <v>3</v>
      </c>
      <c r="G173" s="12"/>
      <c r="H173" s="12" t="s">
        <v>89</v>
      </c>
      <c r="I173" s="12"/>
      <c r="J173" s="121">
        <f>Table1512[[#This Row],[Miktar]]+J172</f>
        <v>150</v>
      </c>
    </row>
    <row r="174" spans="2:10" x14ac:dyDescent="0.2">
      <c r="B174" s="221">
        <f t="shared" si="48"/>
        <v>302530</v>
      </c>
      <c r="C174" s="274">
        <f t="shared" ref="C174" si="54">D174</f>
        <v>46023</v>
      </c>
      <c r="D174" s="275">
        <v>46023</v>
      </c>
      <c r="E174" s="276">
        <f>E171</f>
        <v>1700</v>
      </c>
      <c r="F174" s="277"/>
      <c r="G174" s="277"/>
      <c r="H174" s="277" t="s">
        <v>88</v>
      </c>
      <c r="I174" s="277" t="s">
        <v>86</v>
      </c>
      <c r="J174" s="276">
        <f>Table1512[[#This Row],[Miktar]]+J173</f>
        <v>1850</v>
      </c>
    </row>
    <row r="175" spans="2:10" x14ac:dyDescent="0.2">
      <c r="B175" s="221">
        <f t="shared" si="48"/>
        <v>302540</v>
      </c>
      <c r="C175" s="40"/>
      <c r="D175" s="133"/>
      <c r="E175" s="374"/>
      <c r="F175" s="64"/>
      <c r="G175" s="64"/>
      <c r="H175" s="64" t="s">
        <v>90</v>
      </c>
      <c r="I175" s="64"/>
      <c r="J175" s="213">
        <f>Table1512[[#This Row],[Miktar]]+J174</f>
        <v>1850</v>
      </c>
    </row>
    <row r="176" spans="2:10" x14ac:dyDescent="0.2">
      <c r="B176" s="219">
        <f t="shared" si="48"/>
        <v>302550</v>
      </c>
      <c r="C176" s="222"/>
      <c r="D176" s="220"/>
      <c r="E176" s="213"/>
      <c r="F176" s="64"/>
      <c r="G176" s="64"/>
      <c r="H176" s="64" t="s">
        <v>89</v>
      </c>
      <c r="I176" s="64"/>
      <c r="J176" s="213">
        <f>Table1512[[#This Row],[Miktar]]+J175</f>
        <v>1850</v>
      </c>
    </row>
    <row r="177" spans="2:10" x14ac:dyDescent="0.2">
      <c r="B177" s="221">
        <f t="shared" si="48"/>
        <v>302560</v>
      </c>
      <c r="C177" s="274">
        <f t="shared" ref="C177" si="55">D177</f>
        <v>46054</v>
      </c>
      <c r="D177" s="275">
        <v>46054</v>
      </c>
      <c r="E177" s="276">
        <f>E174</f>
        <v>1700</v>
      </c>
      <c r="F177" s="277"/>
      <c r="G177" s="277"/>
      <c r="H177" s="277" t="s">
        <v>88</v>
      </c>
      <c r="I177" s="277" t="s">
        <v>86</v>
      </c>
      <c r="J177" s="276">
        <f>Table1512[[#This Row],[Miktar]]+J176</f>
        <v>3550</v>
      </c>
    </row>
    <row r="178" spans="2:10" x14ac:dyDescent="0.2">
      <c r="B178" s="221">
        <f t="shared" si="48"/>
        <v>302570</v>
      </c>
      <c r="C178" s="40"/>
      <c r="D178" s="133"/>
      <c r="E178" s="374"/>
      <c r="F178" s="64"/>
      <c r="G178" s="64"/>
      <c r="H178" s="64" t="s">
        <v>90</v>
      </c>
      <c r="I178" s="64"/>
      <c r="J178" s="213">
        <f>Table1512[[#This Row],[Miktar]]+J177</f>
        <v>3550</v>
      </c>
    </row>
    <row r="179" spans="2:10" x14ac:dyDescent="0.2">
      <c r="B179" s="219">
        <f t="shared" si="48"/>
        <v>302580</v>
      </c>
      <c r="C179" s="40"/>
      <c r="D179" s="133"/>
      <c r="E179" s="213"/>
      <c r="F179" s="64"/>
      <c r="G179" s="64"/>
      <c r="H179" s="64" t="s">
        <v>89</v>
      </c>
      <c r="I179" s="64"/>
      <c r="J179" s="213">
        <f>Table1512[[#This Row],[Miktar]]+J178</f>
        <v>3550</v>
      </c>
    </row>
    <row r="180" spans="2:10" x14ac:dyDescent="0.2">
      <c r="B180" s="221">
        <f t="shared" si="48"/>
        <v>302590</v>
      </c>
      <c r="C180" s="274">
        <f t="shared" ref="C180" si="56">D180</f>
        <v>46082</v>
      </c>
      <c r="D180" s="275">
        <v>46082</v>
      </c>
      <c r="E180" s="276">
        <f>E177</f>
        <v>1700</v>
      </c>
      <c r="F180" s="277"/>
      <c r="G180" s="277"/>
      <c r="H180" s="277" t="s">
        <v>88</v>
      </c>
      <c r="I180" s="277" t="s">
        <v>86</v>
      </c>
      <c r="J180" s="276">
        <f>Table1512[[#This Row],[Miktar]]+J179</f>
        <v>5250</v>
      </c>
    </row>
    <row r="181" spans="2:10" x14ac:dyDescent="0.2">
      <c r="B181" s="221">
        <f t="shared" si="48"/>
        <v>302600</v>
      </c>
      <c r="C181" s="40"/>
      <c r="D181" s="133"/>
      <c r="E181" s="374"/>
      <c r="F181" s="64"/>
      <c r="G181" s="64"/>
      <c r="H181" s="64" t="s">
        <v>90</v>
      </c>
      <c r="I181" s="64"/>
      <c r="J181" s="213">
        <f>Table1512[[#This Row],[Miktar]]+J180</f>
        <v>5250</v>
      </c>
    </row>
    <row r="182" spans="2:10" x14ac:dyDescent="0.2">
      <c r="B182" s="219">
        <f t="shared" si="48"/>
        <v>302610</v>
      </c>
      <c r="C182" s="222"/>
      <c r="D182" s="220"/>
      <c r="E182" s="213"/>
      <c r="F182" s="64"/>
      <c r="G182" s="64"/>
      <c r="H182" s="64" t="s">
        <v>89</v>
      </c>
      <c r="I182" s="64"/>
      <c r="J182" s="213">
        <f>Table1512[[#This Row],[Miktar]]+J181</f>
        <v>5250</v>
      </c>
    </row>
    <row r="183" spans="2:10" x14ac:dyDescent="0.2">
      <c r="B183" s="388">
        <f t="shared" si="48"/>
        <v>302620</v>
      </c>
      <c r="C183" s="389">
        <f t="shared" ref="C183" si="57">D183</f>
        <v>46113</v>
      </c>
      <c r="D183" s="390">
        <v>46113</v>
      </c>
      <c r="E183" s="378">
        <f>E180</f>
        <v>1700</v>
      </c>
      <c r="F183" s="392"/>
      <c r="G183" s="392"/>
      <c r="H183" s="392" t="s">
        <v>88</v>
      </c>
      <c r="I183" s="392" t="s">
        <v>86</v>
      </c>
      <c r="J183" s="391">
        <f>Table1512[[#This Row],[Miktar]]+J182</f>
        <v>6950</v>
      </c>
    </row>
    <row r="184" spans="2:10" x14ac:dyDescent="0.2">
      <c r="B184" s="388">
        <f t="shared" si="48"/>
        <v>302630</v>
      </c>
      <c r="C184" s="393"/>
      <c r="D184" s="394"/>
      <c r="E184" s="395"/>
      <c r="F184" s="396"/>
      <c r="G184" s="396"/>
      <c r="H184" s="396" t="s">
        <v>90</v>
      </c>
      <c r="I184" s="396"/>
      <c r="J184" s="397">
        <f>Table1512[[#This Row],[Miktar]]+J183</f>
        <v>6950</v>
      </c>
    </row>
    <row r="185" spans="2:10" x14ac:dyDescent="0.2">
      <c r="B185" s="398">
        <f t="shared" si="48"/>
        <v>302640</v>
      </c>
      <c r="C185" s="393"/>
      <c r="D185" s="394"/>
      <c r="E185" s="397"/>
      <c r="F185" s="396"/>
      <c r="G185" s="396"/>
      <c r="H185" s="396" t="s">
        <v>89</v>
      </c>
      <c r="I185" s="396"/>
      <c r="J185" s="397">
        <f>Table1512[[#This Row],[Miktar]]+J184</f>
        <v>6950</v>
      </c>
    </row>
    <row r="186" spans="2:10" x14ac:dyDescent="0.2">
      <c r="B186" s="375">
        <f t="shared" si="48"/>
        <v>302650</v>
      </c>
      <c r="C186" s="376">
        <f t="shared" ref="C186" si="58">D186</f>
        <v>46143</v>
      </c>
      <c r="D186" s="377">
        <v>46143</v>
      </c>
      <c r="E186" s="378">
        <f>E183</f>
        <v>1700</v>
      </c>
      <c r="F186" s="379"/>
      <c r="G186" s="379"/>
      <c r="H186" s="379" t="s">
        <v>88</v>
      </c>
      <c r="I186" s="379" t="s">
        <v>86</v>
      </c>
      <c r="J186" s="378">
        <f>Table1512[[#This Row],[Miktar]]+J185</f>
        <v>8650</v>
      </c>
    </row>
    <row r="187" spans="2:10" x14ac:dyDescent="0.2">
      <c r="B187" s="375">
        <f t="shared" si="48"/>
        <v>302660</v>
      </c>
      <c r="C187" s="380"/>
      <c r="D187" s="381"/>
      <c r="E187" s="382"/>
      <c r="F187" s="383"/>
      <c r="G187" s="383"/>
      <c r="H187" s="383" t="s">
        <v>90</v>
      </c>
      <c r="I187" s="383"/>
      <c r="J187" s="384">
        <f>Table1512[[#This Row],[Miktar]]+J186</f>
        <v>8650</v>
      </c>
    </row>
    <row r="188" spans="2:10" x14ac:dyDescent="0.2">
      <c r="B188" s="385">
        <f t="shared" si="48"/>
        <v>302670</v>
      </c>
      <c r="C188" s="386"/>
      <c r="D188" s="387"/>
      <c r="E188" s="399"/>
      <c r="F188" s="400"/>
      <c r="G188" s="400"/>
      <c r="H188" s="400" t="s">
        <v>89</v>
      </c>
      <c r="I188" s="400"/>
      <c r="J188" s="399">
        <f>Table1512[[#This Row],[Miktar]]+J187</f>
        <v>8650</v>
      </c>
    </row>
    <row r="189" spans="2:10" x14ac:dyDescent="0.2">
      <c r="B189" s="388">
        <f t="shared" si="48"/>
        <v>302680</v>
      </c>
      <c r="C189" s="389">
        <f t="shared" ref="C189" si="59">D189</f>
        <v>46174</v>
      </c>
      <c r="D189" s="390">
        <v>46174</v>
      </c>
      <c r="E189" s="378">
        <f>E186</f>
        <v>1700</v>
      </c>
      <c r="F189" s="392"/>
      <c r="G189" s="392"/>
      <c r="H189" s="392" t="s">
        <v>88</v>
      </c>
      <c r="I189" s="392" t="s">
        <v>86</v>
      </c>
      <c r="J189" s="391">
        <f>Table1512[[#This Row],[Miktar]]+J188</f>
        <v>10350</v>
      </c>
    </row>
    <row r="190" spans="2:10" x14ac:dyDescent="0.2">
      <c r="B190" s="388">
        <f t="shared" si="48"/>
        <v>302690</v>
      </c>
      <c r="C190" s="393"/>
      <c r="D190" s="394"/>
      <c r="E190" s="395"/>
      <c r="F190" s="396"/>
      <c r="G190" s="396"/>
      <c r="H190" s="396" t="s">
        <v>90</v>
      </c>
      <c r="I190" s="396"/>
      <c r="J190" s="397">
        <f>Table1512[[#This Row],[Miktar]]+J189</f>
        <v>10350</v>
      </c>
    </row>
    <row r="191" spans="2:10" x14ac:dyDescent="0.2">
      <c r="B191" s="398">
        <f t="shared" si="48"/>
        <v>302700</v>
      </c>
      <c r="C191" s="393"/>
      <c r="D191" s="394"/>
      <c r="E191" s="397"/>
      <c r="F191" s="396"/>
      <c r="G191" s="396"/>
      <c r="H191" s="396" t="s">
        <v>89</v>
      </c>
      <c r="I191" s="396"/>
      <c r="J191" s="397">
        <f>Table1512[[#This Row],[Miktar]]+J190</f>
        <v>10350</v>
      </c>
    </row>
    <row r="192" spans="2:10" x14ac:dyDescent="0.2">
      <c r="B192" s="375">
        <f t="shared" si="48"/>
        <v>302710</v>
      </c>
      <c r="C192" s="376">
        <f t="shared" ref="C192" si="60">D192</f>
        <v>46204</v>
      </c>
      <c r="D192" s="377">
        <v>46204</v>
      </c>
      <c r="E192" s="378">
        <f>E189</f>
        <v>1700</v>
      </c>
      <c r="F192" s="379"/>
      <c r="G192" s="379"/>
      <c r="H192" s="379" t="s">
        <v>88</v>
      </c>
      <c r="I192" s="379" t="s">
        <v>86</v>
      </c>
      <c r="J192" s="378">
        <f>Table1512[[#This Row],[Miktar]]+J191</f>
        <v>12050</v>
      </c>
    </row>
    <row r="193" spans="2:10" x14ac:dyDescent="0.2">
      <c r="B193" s="375">
        <f t="shared" si="48"/>
        <v>302720</v>
      </c>
      <c r="C193" s="380"/>
      <c r="D193" s="381"/>
      <c r="E193" s="382"/>
      <c r="F193" s="383"/>
      <c r="G193" s="383"/>
      <c r="H193" s="383" t="s">
        <v>90</v>
      </c>
      <c r="I193" s="383"/>
      <c r="J193" s="384">
        <f>Table1512[[#This Row],[Miktar]]+J192</f>
        <v>12050</v>
      </c>
    </row>
    <row r="194" spans="2:10" x14ac:dyDescent="0.2">
      <c r="B194" s="385">
        <f t="shared" si="48"/>
        <v>302730</v>
      </c>
      <c r="C194" s="386"/>
      <c r="D194" s="387"/>
      <c r="E194" s="399"/>
      <c r="F194" s="400"/>
      <c r="G194" s="400"/>
      <c r="H194" s="400" t="s">
        <v>89</v>
      </c>
      <c r="I194" s="400"/>
      <c r="J194" s="399">
        <f>Table1512[[#This Row],[Miktar]]+J193</f>
        <v>12050</v>
      </c>
    </row>
    <row r="195" spans="2:10" x14ac:dyDescent="0.2">
      <c r="B195" s="388">
        <f t="shared" si="48"/>
        <v>302740</v>
      </c>
      <c r="C195" s="389">
        <f t="shared" ref="C195" si="61">D195</f>
        <v>46235</v>
      </c>
      <c r="D195" s="390">
        <v>46235</v>
      </c>
      <c r="E195" s="378">
        <f>E192</f>
        <v>1700</v>
      </c>
      <c r="F195" s="392"/>
      <c r="G195" s="392"/>
      <c r="H195" s="392" t="s">
        <v>88</v>
      </c>
      <c r="I195" s="392" t="s">
        <v>86</v>
      </c>
      <c r="J195" s="391">
        <f>Table1512[[#This Row],[Miktar]]+J194</f>
        <v>13750</v>
      </c>
    </row>
    <row r="196" spans="2:10" x14ac:dyDescent="0.2">
      <c r="B196" s="388">
        <f t="shared" si="48"/>
        <v>302750</v>
      </c>
      <c r="C196" s="393"/>
      <c r="D196" s="394"/>
      <c r="E196" s="395"/>
      <c r="F196" s="396"/>
      <c r="G196" s="396"/>
      <c r="H196" s="396" t="s">
        <v>90</v>
      </c>
      <c r="I196" s="396"/>
      <c r="J196" s="397">
        <f>Table1512[[#This Row],[Miktar]]+J195</f>
        <v>13750</v>
      </c>
    </row>
    <row r="197" spans="2:10" x14ac:dyDescent="0.2">
      <c r="B197" s="398">
        <f t="shared" si="48"/>
        <v>302760</v>
      </c>
      <c r="C197" s="393"/>
      <c r="D197" s="394"/>
      <c r="E197" s="397"/>
      <c r="F197" s="396"/>
      <c r="G197" s="396"/>
      <c r="H197" s="396" t="s">
        <v>89</v>
      </c>
      <c r="I197" s="396"/>
      <c r="J197" s="397">
        <f>Table1512[[#This Row],[Miktar]]+J196</f>
        <v>13750</v>
      </c>
    </row>
    <row r="198" spans="2:10" x14ac:dyDescent="0.2">
      <c r="B198" s="375">
        <f t="shared" si="48"/>
        <v>302770</v>
      </c>
      <c r="C198" s="376">
        <f t="shared" ref="C198" si="62">D198</f>
        <v>46266</v>
      </c>
      <c r="D198" s="377">
        <v>46266</v>
      </c>
      <c r="E198" s="378">
        <f>E195</f>
        <v>1700</v>
      </c>
      <c r="F198" s="379"/>
      <c r="G198" s="379"/>
      <c r="H198" s="379" t="s">
        <v>88</v>
      </c>
      <c r="I198" s="379" t="s">
        <v>86</v>
      </c>
      <c r="J198" s="378">
        <f>Table1512[[#This Row],[Miktar]]+J197</f>
        <v>15450</v>
      </c>
    </row>
    <row r="199" spans="2:10" x14ac:dyDescent="0.2">
      <c r="B199" s="375">
        <f t="shared" si="48"/>
        <v>302780</v>
      </c>
      <c r="C199" s="380"/>
      <c r="D199" s="381"/>
      <c r="E199" s="382"/>
      <c r="F199" s="383"/>
      <c r="G199" s="383"/>
      <c r="H199" s="383" t="s">
        <v>90</v>
      </c>
      <c r="I199" s="383"/>
      <c r="J199" s="384">
        <f>Table1512[[#This Row],[Miktar]]+J198</f>
        <v>15450</v>
      </c>
    </row>
    <row r="200" spans="2:10" x14ac:dyDescent="0.2">
      <c r="B200" s="385">
        <f t="shared" si="48"/>
        <v>302790</v>
      </c>
      <c r="C200" s="386"/>
      <c r="D200" s="387"/>
      <c r="E200" s="399"/>
      <c r="F200" s="400"/>
      <c r="G200" s="400"/>
      <c r="H200" s="400" t="s">
        <v>89</v>
      </c>
      <c r="I200" s="400"/>
      <c r="J200" s="399">
        <f>Table1512[[#This Row],[Miktar]]+J199</f>
        <v>15450</v>
      </c>
    </row>
  </sheetData>
  <mergeCells count="1">
    <mergeCell ref="B1:C1"/>
  </mergeCells>
  <phoneticPr fontId="11" type="noConversion"/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CA8EF-8DD7-A44D-8880-5842BAFAF4EB}">
  <sheetPr>
    <tabColor rgb="FF92D050"/>
  </sheetPr>
  <dimension ref="A1:L212"/>
  <sheetViews>
    <sheetView zoomScale="82" zoomScaleNormal="100" workbookViewId="0">
      <pane xSplit="1" ySplit="4" topLeftCell="B173" activePane="bottomRight" state="frozen"/>
      <selection activeCell="G91" sqref="G91"/>
      <selection pane="topRight" activeCell="G91" sqref="G91"/>
      <selection pane="bottomLeft" activeCell="G91" sqref="G91"/>
      <selection pane="bottomRight" activeCell="G206" sqref="G206"/>
    </sheetView>
  </sheetViews>
  <sheetFormatPr baseColWidth="10" defaultRowHeight="16" x14ac:dyDescent="0.2"/>
  <cols>
    <col min="2" max="2" width="10.6640625" bestFit="1" customWidth="1"/>
    <col min="3" max="3" width="11.83203125" bestFit="1" customWidth="1"/>
    <col min="4" max="4" width="19.6640625" style="85" bestFit="1" customWidth="1"/>
    <col min="5" max="5" width="31" bestFit="1" customWidth="1"/>
    <col min="6" max="6" width="31.1640625" bestFit="1" customWidth="1"/>
    <col min="7" max="7" width="36.6640625" bestFit="1" customWidth="1"/>
    <col min="8" max="8" width="36.6640625" customWidth="1"/>
    <col min="9" max="9" width="21" bestFit="1" customWidth="1"/>
    <col min="10" max="10" width="20.83203125" bestFit="1" customWidth="1"/>
    <col min="11" max="11" width="10.83203125" customWidth="1"/>
    <col min="12" max="12" width="12.1640625" bestFit="1" customWidth="1"/>
  </cols>
  <sheetData>
    <row r="1" spans="1:10" ht="21" thickBot="1" x14ac:dyDescent="0.3">
      <c r="A1" s="36" t="s">
        <v>18</v>
      </c>
      <c r="B1" s="35" t="s">
        <v>12</v>
      </c>
    </row>
    <row r="2" spans="1:10" ht="17" thickTop="1" x14ac:dyDescent="0.2">
      <c r="B2" s="1"/>
      <c r="D2" s="84" t="s">
        <v>14</v>
      </c>
      <c r="E2" s="1" t="s">
        <v>22</v>
      </c>
      <c r="F2" s="1"/>
    </row>
    <row r="3" spans="1:10" x14ac:dyDescent="0.2">
      <c r="B3" s="1"/>
    </row>
    <row r="4" spans="1:10" x14ac:dyDescent="0.2">
      <c r="B4" s="19" t="s">
        <v>30</v>
      </c>
      <c r="C4" s="19" t="s">
        <v>6</v>
      </c>
      <c r="D4" s="92" t="s">
        <v>7</v>
      </c>
      <c r="E4" s="19" t="s">
        <v>8</v>
      </c>
      <c r="F4" s="19" t="s">
        <v>9</v>
      </c>
      <c r="G4" s="19" t="s">
        <v>25</v>
      </c>
      <c r="H4" s="19" t="s">
        <v>91</v>
      </c>
      <c r="I4" s="19" t="s">
        <v>18</v>
      </c>
      <c r="J4" s="19" t="s">
        <v>10</v>
      </c>
    </row>
    <row r="5" spans="1:10" x14ac:dyDescent="0.2">
      <c r="B5" s="23">
        <v>400010</v>
      </c>
      <c r="C5" s="9">
        <v>43101</v>
      </c>
      <c r="D5" s="87">
        <v>43101</v>
      </c>
      <c r="E5" s="7">
        <v>29000</v>
      </c>
      <c r="F5" s="12" t="s">
        <v>0</v>
      </c>
      <c r="G5" s="12"/>
      <c r="H5" s="12"/>
      <c r="I5" s="2" t="s">
        <v>12</v>
      </c>
      <c r="J5" s="13">
        <f>Table156781317[[#This Row],[Miktar]]</f>
        <v>29000</v>
      </c>
    </row>
    <row r="6" spans="1:10" x14ac:dyDescent="0.2">
      <c r="B6" s="23">
        <v>400020</v>
      </c>
      <c r="C6" s="8"/>
      <c r="D6" s="79">
        <v>43108</v>
      </c>
      <c r="E6" s="5">
        <f>-29000*4</f>
        <v>-116000</v>
      </c>
      <c r="F6" s="12" t="s">
        <v>23</v>
      </c>
      <c r="G6" s="2" t="s">
        <v>24</v>
      </c>
      <c r="H6" s="2"/>
      <c r="I6" s="2" t="s">
        <v>12</v>
      </c>
      <c r="J6" s="3">
        <f>Table156781317[[#This Row],[Miktar]]+J5</f>
        <v>-87000</v>
      </c>
    </row>
    <row r="7" spans="1:10" x14ac:dyDescent="0.2">
      <c r="B7" s="23">
        <v>400030</v>
      </c>
      <c r="C7" s="9">
        <v>43132</v>
      </c>
      <c r="D7" s="87">
        <v>43132</v>
      </c>
      <c r="E7" s="7">
        <v>29000</v>
      </c>
      <c r="F7" s="12" t="s">
        <v>0</v>
      </c>
      <c r="G7" s="12"/>
      <c r="H7" s="12"/>
      <c r="I7" s="2" t="s">
        <v>12</v>
      </c>
      <c r="J7" s="3">
        <f>Table156781317[[#This Row],[Miktar]]+J6</f>
        <v>-58000</v>
      </c>
    </row>
    <row r="8" spans="1:10" x14ac:dyDescent="0.2">
      <c r="B8" s="23">
        <v>400040</v>
      </c>
      <c r="C8" s="9">
        <v>43160</v>
      </c>
      <c r="D8" s="87">
        <v>43160</v>
      </c>
      <c r="E8" s="7">
        <v>29000</v>
      </c>
      <c r="F8" s="12" t="s">
        <v>0</v>
      </c>
      <c r="G8" s="12"/>
      <c r="H8" s="12"/>
      <c r="I8" s="2" t="s">
        <v>12</v>
      </c>
      <c r="J8" s="3">
        <f>Table156781317[[#This Row],[Miktar]]+J7</f>
        <v>-29000</v>
      </c>
    </row>
    <row r="9" spans="1:10" x14ac:dyDescent="0.2">
      <c r="B9" s="23">
        <v>400050</v>
      </c>
      <c r="C9" s="9">
        <v>43191</v>
      </c>
      <c r="D9" s="87">
        <v>43191</v>
      </c>
      <c r="E9" s="7">
        <v>29000</v>
      </c>
      <c r="F9" s="12" t="s">
        <v>0</v>
      </c>
      <c r="G9" s="12"/>
      <c r="H9" s="12"/>
      <c r="I9" s="2" t="s">
        <v>12</v>
      </c>
      <c r="J9" s="3">
        <f>Table156781317[[#This Row],[Miktar]]+J8</f>
        <v>0</v>
      </c>
    </row>
    <row r="10" spans="1:10" x14ac:dyDescent="0.2">
      <c r="B10" s="23">
        <v>400060</v>
      </c>
      <c r="C10" s="9">
        <v>43221</v>
      </c>
      <c r="D10" s="87">
        <v>43221</v>
      </c>
      <c r="E10" s="7">
        <v>31500</v>
      </c>
      <c r="F10" s="12" t="s">
        <v>0</v>
      </c>
      <c r="G10" s="12"/>
      <c r="H10" s="12"/>
      <c r="I10" s="2" t="s">
        <v>12</v>
      </c>
      <c r="J10" s="3">
        <f>Table156781317[[#This Row],[Miktar]]+J9</f>
        <v>31500</v>
      </c>
    </row>
    <row r="11" spans="1:10" x14ac:dyDescent="0.2">
      <c r="B11" s="23">
        <v>400070</v>
      </c>
      <c r="C11" s="8"/>
      <c r="D11" s="79">
        <v>43227</v>
      </c>
      <c r="E11" s="5">
        <f>-31500*4</f>
        <v>-126000</v>
      </c>
      <c r="F11" s="12" t="s">
        <v>23</v>
      </c>
      <c r="G11" s="2" t="s">
        <v>24</v>
      </c>
      <c r="H11" s="2"/>
      <c r="I11" s="2" t="s">
        <v>12</v>
      </c>
      <c r="J11" s="3">
        <f>Table156781317[[#This Row],[Miktar]]+J10</f>
        <v>-94500</v>
      </c>
    </row>
    <row r="12" spans="1:10" x14ac:dyDescent="0.2">
      <c r="B12" s="23">
        <v>400080</v>
      </c>
      <c r="C12" s="9">
        <v>43252</v>
      </c>
      <c r="D12" s="87">
        <v>43252</v>
      </c>
      <c r="E12" s="7">
        <v>31500</v>
      </c>
      <c r="F12" s="12" t="s">
        <v>0</v>
      </c>
      <c r="G12" s="12"/>
      <c r="H12" s="12"/>
      <c r="I12" s="2" t="s">
        <v>12</v>
      </c>
      <c r="J12" s="3">
        <f>Table156781317[[#This Row],[Miktar]]+J11</f>
        <v>-63000</v>
      </c>
    </row>
    <row r="13" spans="1:10" x14ac:dyDescent="0.2">
      <c r="B13" s="23">
        <v>400090</v>
      </c>
      <c r="C13" s="9">
        <v>43282</v>
      </c>
      <c r="D13" s="87">
        <v>43282</v>
      </c>
      <c r="E13" s="7">
        <v>31500</v>
      </c>
      <c r="F13" s="12" t="s">
        <v>0</v>
      </c>
      <c r="G13" s="12"/>
      <c r="H13" s="12"/>
      <c r="I13" s="2" t="s">
        <v>12</v>
      </c>
      <c r="J13" s="3">
        <f>Table156781317[[#This Row],[Miktar]]+J12</f>
        <v>-31500</v>
      </c>
    </row>
    <row r="14" spans="1:10" x14ac:dyDescent="0.2">
      <c r="B14" s="23">
        <v>400100</v>
      </c>
      <c r="C14" s="9">
        <v>43313</v>
      </c>
      <c r="D14" s="87">
        <v>43313</v>
      </c>
      <c r="E14" s="7">
        <v>31500</v>
      </c>
      <c r="F14" s="12" t="s">
        <v>0</v>
      </c>
      <c r="G14" s="12"/>
      <c r="H14" s="12"/>
      <c r="I14" s="2" t="s">
        <v>12</v>
      </c>
      <c r="J14" s="3">
        <f>Table156781317[[#This Row],[Miktar]]+J13</f>
        <v>0</v>
      </c>
    </row>
    <row r="15" spans="1:10" x14ac:dyDescent="0.2">
      <c r="B15" s="23">
        <v>400110</v>
      </c>
      <c r="C15" s="9">
        <v>43344</v>
      </c>
      <c r="D15" s="87">
        <v>43344</v>
      </c>
      <c r="E15" s="7">
        <v>31500</v>
      </c>
      <c r="F15" s="12" t="s">
        <v>0</v>
      </c>
      <c r="G15" s="12"/>
      <c r="H15" s="12"/>
      <c r="I15" s="2" t="s">
        <v>12</v>
      </c>
      <c r="J15" s="3">
        <f>Table156781317[[#This Row],[Miktar]]+J14</f>
        <v>31500</v>
      </c>
    </row>
    <row r="16" spans="1:10" x14ac:dyDescent="0.2">
      <c r="B16" s="23">
        <v>400120</v>
      </c>
      <c r="C16" s="9"/>
      <c r="D16" s="87">
        <v>43347</v>
      </c>
      <c r="E16" s="7">
        <v>-31500</v>
      </c>
      <c r="F16" s="12" t="s">
        <v>23</v>
      </c>
      <c r="G16" s="20"/>
      <c r="H16" s="20"/>
      <c r="I16" s="12" t="s">
        <v>12</v>
      </c>
      <c r="J16" s="3">
        <f>Table156781317[[#This Row],[Miktar]]+J15</f>
        <v>0</v>
      </c>
    </row>
    <row r="17" spans="2:10" x14ac:dyDescent="0.2">
      <c r="B17" s="23">
        <v>400130</v>
      </c>
      <c r="C17" s="9">
        <v>43374</v>
      </c>
      <c r="D17" s="87">
        <v>43374</v>
      </c>
      <c r="E17" s="7">
        <v>31500</v>
      </c>
      <c r="F17" s="12" t="s">
        <v>0</v>
      </c>
      <c r="G17" s="12"/>
      <c r="H17" s="12"/>
      <c r="I17" s="2" t="s">
        <v>12</v>
      </c>
      <c r="J17" s="3">
        <f>Table156781317[[#This Row],[Miktar]]+J16</f>
        <v>31500</v>
      </c>
    </row>
    <row r="18" spans="2:10" x14ac:dyDescent="0.2">
      <c r="B18" s="23">
        <v>400140</v>
      </c>
      <c r="C18" s="9"/>
      <c r="D18" s="87">
        <v>43374</v>
      </c>
      <c r="E18" s="7">
        <v>-31500</v>
      </c>
      <c r="F18" s="12" t="s">
        <v>23</v>
      </c>
      <c r="G18" s="20"/>
      <c r="H18" s="20"/>
      <c r="I18" s="12" t="s">
        <v>12</v>
      </c>
      <c r="J18" s="3">
        <f>Table156781317[[#This Row],[Miktar]]+J17</f>
        <v>0</v>
      </c>
    </row>
    <row r="19" spans="2:10" x14ac:dyDescent="0.2">
      <c r="B19" s="23">
        <v>400150</v>
      </c>
      <c r="C19" s="9">
        <v>43405</v>
      </c>
      <c r="D19" s="87">
        <v>43405</v>
      </c>
      <c r="E19" s="7">
        <v>31500</v>
      </c>
      <c r="F19" s="12" t="s">
        <v>0</v>
      </c>
      <c r="G19" s="12"/>
      <c r="H19" s="12"/>
      <c r="I19" s="2" t="s">
        <v>12</v>
      </c>
      <c r="J19" s="3">
        <f>Table156781317[[#This Row],[Miktar]]+J18</f>
        <v>31500</v>
      </c>
    </row>
    <row r="20" spans="2:10" x14ac:dyDescent="0.2">
      <c r="B20" s="23">
        <v>400160</v>
      </c>
      <c r="C20" s="9"/>
      <c r="D20" s="87">
        <v>43406</v>
      </c>
      <c r="E20" s="7">
        <v>-31500</v>
      </c>
      <c r="F20" s="12" t="s">
        <v>23</v>
      </c>
      <c r="G20" s="20"/>
      <c r="H20" s="20"/>
      <c r="I20" s="12" t="s">
        <v>12</v>
      </c>
      <c r="J20" s="3">
        <f>Table156781317[[#This Row],[Miktar]]+J19</f>
        <v>0</v>
      </c>
    </row>
    <row r="21" spans="2:10" x14ac:dyDescent="0.2">
      <c r="B21" s="23">
        <v>400170</v>
      </c>
      <c r="C21" s="9">
        <v>43435</v>
      </c>
      <c r="D21" s="87">
        <v>43435</v>
      </c>
      <c r="E21" s="7">
        <v>31500</v>
      </c>
      <c r="F21" s="12" t="s">
        <v>0</v>
      </c>
      <c r="G21" s="12"/>
      <c r="H21" s="12"/>
      <c r="I21" s="2" t="s">
        <v>12</v>
      </c>
      <c r="J21" s="3">
        <f>Table156781317[[#This Row],[Miktar]]+J20</f>
        <v>31500</v>
      </c>
    </row>
    <row r="22" spans="2:10" x14ac:dyDescent="0.2">
      <c r="B22" s="23">
        <v>400180</v>
      </c>
      <c r="C22" s="9"/>
      <c r="D22" s="87">
        <v>43437</v>
      </c>
      <c r="E22" s="7">
        <v>-31500</v>
      </c>
      <c r="F22" s="12" t="s">
        <v>23</v>
      </c>
      <c r="G22" s="20"/>
      <c r="H22" s="20"/>
      <c r="I22" s="12" t="s">
        <v>12</v>
      </c>
      <c r="J22" s="3">
        <f>Table156781317[[#This Row],[Miktar]]+J21</f>
        <v>0</v>
      </c>
    </row>
    <row r="23" spans="2:10" x14ac:dyDescent="0.2">
      <c r="B23" s="23">
        <v>400190</v>
      </c>
      <c r="C23" s="9">
        <v>43466</v>
      </c>
      <c r="D23" s="87">
        <v>43466</v>
      </c>
      <c r="E23" s="7">
        <v>31500</v>
      </c>
      <c r="F23" s="12" t="s">
        <v>0</v>
      </c>
      <c r="G23" s="12"/>
      <c r="H23" s="12"/>
      <c r="I23" s="2" t="s">
        <v>12</v>
      </c>
      <c r="J23" s="3">
        <f>Table156781317[[#This Row],[Miktar]]+J22</f>
        <v>31500</v>
      </c>
    </row>
    <row r="24" spans="2:10" x14ac:dyDescent="0.2">
      <c r="B24" s="23">
        <v>400200</v>
      </c>
      <c r="C24" s="9"/>
      <c r="D24" s="87">
        <v>43468</v>
      </c>
      <c r="E24" s="7">
        <v>-31500</v>
      </c>
      <c r="F24" s="12" t="s">
        <v>23</v>
      </c>
      <c r="G24" s="20"/>
      <c r="H24" s="20"/>
      <c r="I24" s="12" t="s">
        <v>12</v>
      </c>
      <c r="J24" s="3">
        <f>Table156781317[[#This Row],[Miktar]]+J23</f>
        <v>0</v>
      </c>
    </row>
    <row r="25" spans="2:10" x14ac:dyDescent="0.2">
      <c r="B25" s="23">
        <v>400210</v>
      </c>
      <c r="C25" s="9">
        <v>43497</v>
      </c>
      <c r="D25" s="87">
        <v>43497</v>
      </c>
      <c r="E25" s="7">
        <v>31500</v>
      </c>
      <c r="F25" s="12" t="s">
        <v>0</v>
      </c>
      <c r="G25" s="12"/>
      <c r="H25" s="12"/>
      <c r="I25" s="2" t="s">
        <v>12</v>
      </c>
      <c r="J25" s="3">
        <f>Table156781317[[#This Row],[Miktar]]+J24</f>
        <v>31500</v>
      </c>
    </row>
    <row r="26" spans="2:10" x14ac:dyDescent="0.2">
      <c r="B26" s="23">
        <v>400220</v>
      </c>
      <c r="C26" s="9"/>
      <c r="D26" s="87">
        <v>43500</v>
      </c>
      <c r="E26" s="7">
        <v>-31500</v>
      </c>
      <c r="F26" s="12" t="s">
        <v>23</v>
      </c>
      <c r="G26" s="20"/>
      <c r="H26" s="20"/>
      <c r="I26" s="12" t="s">
        <v>12</v>
      </c>
      <c r="J26" s="3">
        <f>Table156781317[[#This Row],[Miktar]]+J25</f>
        <v>0</v>
      </c>
    </row>
    <row r="27" spans="2:10" x14ac:dyDescent="0.2">
      <c r="B27" s="23">
        <v>400230</v>
      </c>
      <c r="C27" s="9">
        <v>43525</v>
      </c>
      <c r="D27" s="87">
        <v>43525</v>
      </c>
      <c r="E27" s="7">
        <v>31500</v>
      </c>
      <c r="F27" s="12" t="s">
        <v>0</v>
      </c>
      <c r="G27" s="12"/>
      <c r="H27" s="12"/>
      <c r="I27" s="2" t="s">
        <v>12</v>
      </c>
      <c r="J27" s="3">
        <f>Table156781317[[#This Row],[Miktar]]+J26</f>
        <v>31500</v>
      </c>
    </row>
    <row r="28" spans="2:10" x14ac:dyDescent="0.2">
      <c r="B28" s="23">
        <v>400240</v>
      </c>
      <c r="C28" s="9"/>
      <c r="D28" s="87">
        <v>43528</v>
      </c>
      <c r="E28" s="7">
        <v>-31500</v>
      </c>
      <c r="F28" s="12" t="s">
        <v>23</v>
      </c>
      <c r="G28" s="20"/>
      <c r="H28" s="20"/>
      <c r="I28" s="12" t="s">
        <v>12</v>
      </c>
      <c r="J28" s="3">
        <f>Table156781317[[#This Row],[Miktar]]+J27</f>
        <v>0</v>
      </c>
    </row>
    <row r="29" spans="2:10" x14ac:dyDescent="0.2">
      <c r="B29" s="23">
        <v>400250</v>
      </c>
      <c r="C29" s="9">
        <v>43556</v>
      </c>
      <c r="D29" s="87">
        <v>43556</v>
      </c>
      <c r="E29" s="7">
        <v>31500</v>
      </c>
      <c r="F29" s="12" t="s">
        <v>0</v>
      </c>
      <c r="G29" s="12"/>
      <c r="H29" s="12"/>
      <c r="I29" s="2" t="s">
        <v>12</v>
      </c>
      <c r="J29" s="3">
        <f>Table156781317[[#This Row],[Miktar]]+J28</f>
        <v>31500</v>
      </c>
    </row>
    <row r="30" spans="2:10" x14ac:dyDescent="0.2">
      <c r="B30" s="23">
        <v>400260</v>
      </c>
      <c r="C30" s="9"/>
      <c r="D30" s="87">
        <v>43558</v>
      </c>
      <c r="E30" s="7">
        <v>-31500</v>
      </c>
      <c r="F30" s="12" t="s">
        <v>23</v>
      </c>
      <c r="G30" s="20"/>
      <c r="H30" s="20"/>
      <c r="I30" s="12" t="s">
        <v>12</v>
      </c>
      <c r="J30" s="3">
        <f>Table156781317[[#This Row],[Miktar]]+J29</f>
        <v>0</v>
      </c>
    </row>
    <row r="31" spans="2:10" x14ac:dyDescent="0.2">
      <c r="B31" s="23">
        <v>400270</v>
      </c>
      <c r="C31" s="9">
        <v>43586</v>
      </c>
      <c r="D31" s="87">
        <v>43586</v>
      </c>
      <c r="E31" s="7">
        <v>31500</v>
      </c>
      <c r="F31" s="12" t="s">
        <v>0</v>
      </c>
      <c r="G31" s="12"/>
      <c r="H31" s="12"/>
      <c r="I31" s="2" t="s">
        <v>12</v>
      </c>
      <c r="J31" s="3">
        <f>Table156781317[[#This Row],[Miktar]]+J30</f>
        <v>31500</v>
      </c>
    </row>
    <row r="32" spans="2:10" x14ac:dyDescent="0.2">
      <c r="B32" s="23">
        <v>400280</v>
      </c>
      <c r="C32" s="9"/>
      <c r="D32" s="87">
        <v>43588</v>
      </c>
      <c r="E32" s="7">
        <v>-31500</v>
      </c>
      <c r="F32" s="12" t="s">
        <v>23</v>
      </c>
      <c r="G32" s="20"/>
      <c r="H32" s="20"/>
      <c r="I32" s="12" t="s">
        <v>12</v>
      </c>
      <c r="J32" s="3">
        <f>Table156781317[[#This Row],[Miktar]]+J31</f>
        <v>0</v>
      </c>
    </row>
    <row r="33" spans="2:10" x14ac:dyDescent="0.2">
      <c r="B33" s="23">
        <v>400290</v>
      </c>
      <c r="C33" s="9">
        <v>43617</v>
      </c>
      <c r="D33" s="87">
        <v>43617</v>
      </c>
      <c r="E33" s="7">
        <v>35910</v>
      </c>
      <c r="F33" s="12" t="s">
        <v>0</v>
      </c>
      <c r="G33" s="12"/>
      <c r="H33" s="12"/>
      <c r="I33" s="2" t="s">
        <v>12</v>
      </c>
      <c r="J33" s="3">
        <f>Table156781317[[#This Row],[Miktar]]+J32</f>
        <v>35910</v>
      </c>
    </row>
    <row r="34" spans="2:10" ht="17" x14ac:dyDescent="0.2">
      <c r="B34" s="23">
        <v>400300</v>
      </c>
      <c r="C34" s="9"/>
      <c r="D34" s="87">
        <v>43619</v>
      </c>
      <c r="E34" s="7">
        <v>-35910</v>
      </c>
      <c r="F34" s="12" t="s">
        <v>23</v>
      </c>
      <c r="G34" s="20" t="s">
        <v>26</v>
      </c>
      <c r="H34" s="20"/>
      <c r="I34" s="12" t="s">
        <v>12</v>
      </c>
      <c r="J34" s="3">
        <f>Table156781317[[#This Row],[Miktar]]+J33</f>
        <v>0</v>
      </c>
    </row>
    <row r="35" spans="2:10" x14ac:dyDescent="0.2">
      <c r="B35" s="23">
        <v>400310</v>
      </c>
      <c r="C35" s="9">
        <v>43647</v>
      </c>
      <c r="D35" s="87">
        <v>43647</v>
      </c>
      <c r="E35" s="7">
        <v>35910</v>
      </c>
      <c r="F35" s="12" t="s">
        <v>0</v>
      </c>
      <c r="G35" s="12"/>
      <c r="H35" s="12"/>
      <c r="I35" s="2" t="s">
        <v>12</v>
      </c>
      <c r="J35" s="3">
        <f>Table156781317[[#This Row],[Miktar]]+J34</f>
        <v>35910</v>
      </c>
    </row>
    <row r="36" spans="2:10" x14ac:dyDescent="0.2">
      <c r="B36" s="23">
        <v>400320</v>
      </c>
      <c r="C36" s="9"/>
      <c r="D36" s="87">
        <v>43649</v>
      </c>
      <c r="E36" s="7">
        <v>-35910</v>
      </c>
      <c r="F36" s="12" t="s">
        <v>23</v>
      </c>
      <c r="G36" s="20"/>
      <c r="H36" s="20"/>
      <c r="I36" s="12" t="s">
        <v>12</v>
      </c>
      <c r="J36" s="3">
        <f>Table156781317[[#This Row],[Miktar]]+J35</f>
        <v>0</v>
      </c>
    </row>
    <row r="37" spans="2:10" x14ac:dyDescent="0.2">
      <c r="B37" s="23">
        <v>400330</v>
      </c>
      <c r="C37" s="9">
        <v>43678</v>
      </c>
      <c r="D37" s="87">
        <v>43678</v>
      </c>
      <c r="E37" s="7">
        <v>35910</v>
      </c>
      <c r="F37" s="12" t="s">
        <v>0</v>
      </c>
      <c r="G37" s="12"/>
      <c r="H37" s="12"/>
      <c r="I37" s="2" t="s">
        <v>12</v>
      </c>
      <c r="J37" s="3">
        <f>Table156781317[[#This Row],[Miktar]]+J36</f>
        <v>35910</v>
      </c>
    </row>
    <row r="38" spans="2:10" x14ac:dyDescent="0.2">
      <c r="B38" s="23">
        <v>400340</v>
      </c>
      <c r="C38" s="9"/>
      <c r="D38" s="87">
        <v>43682</v>
      </c>
      <c r="E38" s="7">
        <v>-35910</v>
      </c>
      <c r="F38" s="12" t="s">
        <v>23</v>
      </c>
      <c r="G38" s="20"/>
      <c r="H38" s="20"/>
      <c r="I38" s="12" t="s">
        <v>12</v>
      </c>
      <c r="J38" s="3">
        <f>Table156781317[[#This Row],[Miktar]]+J37</f>
        <v>0</v>
      </c>
    </row>
    <row r="39" spans="2:10" x14ac:dyDescent="0.2">
      <c r="B39" s="23">
        <v>400350</v>
      </c>
      <c r="C39" s="9">
        <v>43709</v>
      </c>
      <c r="D39" s="87">
        <v>43709</v>
      </c>
      <c r="E39" s="7">
        <v>35910</v>
      </c>
      <c r="F39" s="12" t="s">
        <v>0</v>
      </c>
      <c r="G39" s="12"/>
      <c r="H39" s="12"/>
      <c r="I39" s="2" t="s">
        <v>12</v>
      </c>
      <c r="J39" s="3">
        <f>Table156781317[[#This Row],[Miktar]]+J38</f>
        <v>35910</v>
      </c>
    </row>
    <row r="40" spans="2:10" x14ac:dyDescent="0.2">
      <c r="B40" s="23">
        <v>400360</v>
      </c>
      <c r="C40" s="9"/>
      <c r="D40" s="87">
        <v>43712</v>
      </c>
      <c r="E40" s="7">
        <v>-35910</v>
      </c>
      <c r="F40" s="12" t="s">
        <v>23</v>
      </c>
      <c r="G40" s="20"/>
      <c r="H40" s="20"/>
      <c r="I40" s="12" t="s">
        <v>12</v>
      </c>
      <c r="J40" s="3">
        <f>Table156781317[[#This Row],[Miktar]]+J39</f>
        <v>0</v>
      </c>
    </row>
    <row r="41" spans="2:10" x14ac:dyDescent="0.2">
      <c r="B41" s="23">
        <v>400370</v>
      </c>
      <c r="C41" s="9">
        <v>43739</v>
      </c>
      <c r="D41" s="87">
        <v>43739</v>
      </c>
      <c r="E41" s="7">
        <v>35910</v>
      </c>
      <c r="F41" s="12" t="s">
        <v>0</v>
      </c>
      <c r="G41" s="12"/>
      <c r="H41" s="12"/>
      <c r="I41" s="2" t="s">
        <v>12</v>
      </c>
      <c r="J41" s="3">
        <f>Table156781317[[#This Row],[Miktar]]+J40</f>
        <v>35910</v>
      </c>
    </row>
    <row r="42" spans="2:10" x14ac:dyDescent="0.2">
      <c r="B42" s="23">
        <v>400380</v>
      </c>
      <c r="C42" s="9"/>
      <c r="D42" s="87">
        <v>43742</v>
      </c>
      <c r="E42" s="7">
        <v>-35910</v>
      </c>
      <c r="F42" s="12" t="s">
        <v>23</v>
      </c>
      <c r="G42" s="20"/>
      <c r="H42" s="20"/>
      <c r="I42" s="12" t="s">
        <v>12</v>
      </c>
      <c r="J42" s="3">
        <f>Table156781317[[#This Row],[Miktar]]+J41</f>
        <v>0</v>
      </c>
    </row>
    <row r="43" spans="2:10" x14ac:dyDescent="0.2">
      <c r="B43" s="23">
        <v>400390</v>
      </c>
      <c r="C43" s="9">
        <v>43770</v>
      </c>
      <c r="D43" s="87">
        <v>43770</v>
      </c>
      <c r="E43" s="7">
        <v>35910</v>
      </c>
      <c r="F43" s="12" t="s">
        <v>0</v>
      </c>
      <c r="G43" s="12"/>
      <c r="H43" s="12"/>
      <c r="I43" s="2" t="s">
        <v>12</v>
      </c>
      <c r="J43" s="3">
        <f>Table156781317[[#This Row],[Miktar]]+J42</f>
        <v>35910</v>
      </c>
    </row>
    <row r="44" spans="2:10" x14ac:dyDescent="0.2">
      <c r="B44" s="23">
        <v>400400</v>
      </c>
      <c r="C44" s="9"/>
      <c r="D44" s="87">
        <v>43773</v>
      </c>
      <c r="E44" s="7">
        <v>-35910</v>
      </c>
      <c r="F44" s="12" t="s">
        <v>23</v>
      </c>
      <c r="G44" s="20"/>
      <c r="H44" s="20"/>
      <c r="I44" s="12" t="s">
        <v>12</v>
      </c>
      <c r="J44" s="3">
        <f>Table156781317[[#This Row],[Miktar]]+J43</f>
        <v>0</v>
      </c>
    </row>
    <row r="45" spans="2:10" x14ac:dyDescent="0.2">
      <c r="B45" s="23">
        <v>400410</v>
      </c>
      <c r="C45" s="9">
        <v>43800</v>
      </c>
      <c r="D45" s="87">
        <v>43800</v>
      </c>
      <c r="E45" s="7">
        <v>35910</v>
      </c>
      <c r="F45" s="12" t="s">
        <v>0</v>
      </c>
      <c r="G45" s="12"/>
      <c r="H45" s="12"/>
      <c r="I45" s="2" t="s">
        <v>12</v>
      </c>
      <c r="J45" s="3">
        <f>Table156781317[[#This Row],[Miktar]]+J44</f>
        <v>35910</v>
      </c>
    </row>
    <row r="46" spans="2:10" x14ac:dyDescent="0.2">
      <c r="B46" s="23">
        <v>400420</v>
      </c>
      <c r="C46" s="9"/>
      <c r="D46" s="87">
        <v>43803</v>
      </c>
      <c r="E46" s="7">
        <v>-35910</v>
      </c>
      <c r="F46" s="12" t="s">
        <v>23</v>
      </c>
      <c r="G46" s="20"/>
      <c r="H46" s="20"/>
      <c r="I46" s="12" t="s">
        <v>12</v>
      </c>
      <c r="J46" s="3">
        <f>Table156781317[[#This Row],[Miktar]]+J45</f>
        <v>0</v>
      </c>
    </row>
    <row r="47" spans="2:10" x14ac:dyDescent="0.2">
      <c r="B47" s="23">
        <v>400430</v>
      </c>
      <c r="C47" s="9">
        <v>43831</v>
      </c>
      <c r="D47" s="87">
        <v>43831</v>
      </c>
      <c r="E47" s="7">
        <v>35910</v>
      </c>
      <c r="F47" s="12" t="s">
        <v>0</v>
      </c>
      <c r="G47" s="12"/>
      <c r="H47" s="12"/>
      <c r="I47" s="2" t="s">
        <v>12</v>
      </c>
      <c r="J47" s="3">
        <f>Table156781317[[#This Row],[Miktar]]+J46</f>
        <v>35910</v>
      </c>
    </row>
    <row r="48" spans="2:10" x14ac:dyDescent="0.2">
      <c r="B48" s="23">
        <v>400440</v>
      </c>
      <c r="C48" s="9"/>
      <c r="D48" s="87">
        <v>43833</v>
      </c>
      <c r="E48" s="7">
        <v>-35910</v>
      </c>
      <c r="F48" s="12" t="s">
        <v>23</v>
      </c>
      <c r="G48" s="20"/>
      <c r="H48" s="20"/>
      <c r="I48" s="12" t="s">
        <v>12</v>
      </c>
      <c r="J48" s="3">
        <f>Table156781317[[#This Row],[Miktar]]+J47</f>
        <v>0</v>
      </c>
    </row>
    <row r="49" spans="2:10" x14ac:dyDescent="0.2">
      <c r="B49" s="23">
        <v>400450</v>
      </c>
      <c r="C49" s="9">
        <v>43862</v>
      </c>
      <c r="D49" s="87">
        <v>43862</v>
      </c>
      <c r="E49" s="7">
        <v>35910</v>
      </c>
      <c r="F49" s="12" t="s">
        <v>0</v>
      </c>
      <c r="G49" s="12"/>
      <c r="H49" s="12"/>
      <c r="I49" s="2" t="s">
        <v>12</v>
      </c>
      <c r="J49" s="3">
        <f>Table156781317[[#This Row],[Miktar]]+J48</f>
        <v>35910</v>
      </c>
    </row>
    <row r="50" spans="2:10" x14ac:dyDescent="0.2">
      <c r="B50" s="23">
        <v>400460</v>
      </c>
      <c r="C50" s="9"/>
      <c r="D50" s="87">
        <v>43864</v>
      </c>
      <c r="E50" s="7">
        <v>-35910</v>
      </c>
      <c r="F50" s="12" t="s">
        <v>23</v>
      </c>
      <c r="G50" s="20"/>
      <c r="H50" s="20"/>
      <c r="I50" s="12" t="s">
        <v>12</v>
      </c>
      <c r="J50" s="3">
        <f>Table156781317[[#This Row],[Miktar]]+J49</f>
        <v>0</v>
      </c>
    </row>
    <row r="51" spans="2:10" x14ac:dyDescent="0.2">
      <c r="B51" s="23">
        <v>400470</v>
      </c>
      <c r="C51" s="9">
        <v>43891</v>
      </c>
      <c r="D51" s="87">
        <v>43891</v>
      </c>
      <c r="E51" s="7">
        <v>35910</v>
      </c>
      <c r="F51" s="12" t="s">
        <v>0</v>
      </c>
      <c r="G51" s="12"/>
      <c r="H51" s="12"/>
      <c r="I51" s="2" t="s">
        <v>12</v>
      </c>
      <c r="J51" s="3">
        <f>Table156781317[[#This Row],[Miktar]]+J50</f>
        <v>35910</v>
      </c>
    </row>
    <row r="52" spans="2:10" x14ac:dyDescent="0.2">
      <c r="B52" s="23">
        <v>400480</v>
      </c>
      <c r="C52" s="9"/>
      <c r="D52" s="87">
        <v>43896</v>
      </c>
      <c r="E52" s="7">
        <v>-35910</v>
      </c>
      <c r="F52" s="12" t="s">
        <v>23</v>
      </c>
      <c r="G52" s="20"/>
      <c r="H52" s="20"/>
      <c r="I52" s="12" t="s">
        <v>12</v>
      </c>
      <c r="J52" s="3">
        <f>Table156781317[[#This Row],[Miktar]]+J51</f>
        <v>0</v>
      </c>
    </row>
    <row r="53" spans="2:10" x14ac:dyDescent="0.2">
      <c r="B53" s="23">
        <v>400490</v>
      </c>
      <c r="C53" s="9">
        <v>43922</v>
      </c>
      <c r="D53" s="87">
        <v>43922</v>
      </c>
      <c r="E53" s="7">
        <f>35910*0.75</f>
        <v>26932.5</v>
      </c>
      <c r="F53" s="12" t="s">
        <v>0</v>
      </c>
      <c r="G53" s="12"/>
      <c r="H53" s="12"/>
      <c r="I53" s="2" t="s">
        <v>12</v>
      </c>
      <c r="J53" s="3">
        <f>Table156781317[[#This Row],[Miktar]]+J52</f>
        <v>26932.5</v>
      </c>
    </row>
    <row r="54" spans="2:10" x14ac:dyDescent="0.2">
      <c r="B54" s="23">
        <v>400500</v>
      </c>
      <c r="C54" s="9">
        <v>43952</v>
      </c>
      <c r="D54" s="87">
        <v>43952</v>
      </c>
      <c r="E54" s="7">
        <v>39000</v>
      </c>
      <c r="F54" s="12" t="s">
        <v>0</v>
      </c>
      <c r="G54" s="12"/>
      <c r="H54" s="12"/>
      <c r="I54" s="2" t="s">
        <v>12</v>
      </c>
      <c r="J54" s="3">
        <f>Table156781317[[#This Row],[Miktar]]+J53</f>
        <v>65932.5</v>
      </c>
    </row>
    <row r="55" spans="2:10" ht="17" x14ac:dyDescent="0.2">
      <c r="B55" s="23">
        <v>400510</v>
      </c>
      <c r="C55" s="9"/>
      <c r="D55" s="87">
        <v>43963</v>
      </c>
      <c r="E55" s="7">
        <f>-35910*0.75</f>
        <v>-26932.5</v>
      </c>
      <c r="F55" s="12" t="s">
        <v>23</v>
      </c>
      <c r="G55" s="20" t="s">
        <v>31</v>
      </c>
      <c r="H55" s="20"/>
      <c r="I55" s="12" t="s">
        <v>12</v>
      </c>
      <c r="J55" s="3">
        <f>Table156781317[[#This Row],[Miktar]]+J54</f>
        <v>39000</v>
      </c>
    </row>
    <row r="56" spans="2:10" ht="34" x14ac:dyDescent="0.2">
      <c r="B56" s="23">
        <v>400520</v>
      </c>
      <c r="C56" s="9"/>
      <c r="D56" s="87">
        <v>43963</v>
      </c>
      <c r="E56" s="7">
        <f>-35910/2</f>
        <v>-17955</v>
      </c>
      <c r="F56" s="12" t="s">
        <v>23</v>
      </c>
      <c r="G56" s="20" t="s">
        <v>32</v>
      </c>
      <c r="H56" s="20"/>
      <c r="I56" s="12" t="s">
        <v>12</v>
      </c>
      <c r="J56" s="3">
        <f>Table156781317[[#This Row],[Miktar]]+J55</f>
        <v>21045</v>
      </c>
    </row>
    <row r="57" spans="2:10" x14ac:dyDescent="0.2">
      <c r="B57" s="23">
        <v>400530</v>
      </c>
      <c r="C57" s="9">
        <v>43983</v>
      </c>
      <c r="D57" s="87">
        <v>43983</v>
      </c>
      <c r="E57" s="7">
        <v>39000</v>
      </c>
      <c r="F57" s="12" t="s">
        <v>0</v>
      </c>
      <c r="G57" s="12"/>
      <c r="H57" s="12"/>
      <c r="I57" s="2" t="s">
        <v>12</v>
      </c>
      <c r="J57" s="3">
        <f>Table156781317[[#This Row],[Miktar]]+J56</f>
        <v>60045</v>
      </c>
    </row>
    <row r="58" spans="2:10" ht="17" x14ac:dyDescent="0.2">
      <c r="B58" s="23">
        <v>400540</v>
      </c>
      <c r="C58" s="9"/>
      <c r="D58" s="87">
        <v>43987</v>
      </c>
      <c r="E58" s="7">
        <v>-35910</v>
      </c>
      <c r="F58" s="12" t="s">
        <v>23</v>
      </c>
      <c r="G58" s="20" t="s">
        <v>33</v>
      </c>
      <c r="H58" s="20"/>
      <c r="I58" s="12" t="s">
        <v>12</v>
      </c>
      <c r="J58" s="3">
        <f>Table156781317[[#This Row],[Miktar]]+J57</f>
        <v>24135</v>
      </c>
    </row>
    <row r="59" spans="2:10" x14ac:dyDescent="0.2">
      <c r="B59" s="23">
        <v>400550</v>
      </c>
      <c r="C59" s="9">
        <v>44013</v>
      </c>
      <c r="D59" s="87">
        <v>44013</v>
      </c>
      <c r="E59" s="7">
        <v>39000</v>
      </c>
      <c r="F59" s="12" t="s">
        <v>0</v>
      </c>
      <c r="G59" s="12"/>
      <c r="H59" s="12"/>
      <c r="I59" s="2" t="s">
        <v>12</v>
      </c>
      <c r="J59" s="3">
        <f>Table156781317[[#This Row],[Miktar]]+J58</f>
        <v>63135</v>
      </c>
    </row>
    <row r="60" spans="2:10" ht="17" x14ac:dyDescent="0.2">
      <c r="B60" s="23">
        <v>400560</v>
      </c>
      <c r="C60" s="9"/>
      <c r="D60" s="87">
        <v>44019</v>
      </c>
      <c r="E60" s="7">
        <v>-35910</v>
      </c>
      <c r="F60" s="12" t="s">
        <v>23</v>
      </c>
      <c r="G60" s="20" t="s">
        <v>33</v>
      </c>
      <c r="H60" s="20"/>
      <c r="I60" s="12" t="s">
        <v>12</v>
      </c>
      <c r="J60" s="3">
        <f>Table156781317[[#This Row],[Miktar]]+J59</f>
        <v>27225</v>
      </c>
    </row>
    <row r="61" spans="2:10" x14ac:dyDescent="0.2">
      <c r="B61" s="23">
        <v>400570</v>
      </c>
      <c r="C61" s="9">
        <v>44044</v>
      </c>
      <c r="D61" s="87">
        <v>44044</v>
      </c>
      <c r="E61" s="7">
        <v>39000</v>
      </c>
      <c r="F61" s="12" t="s">
        <v>0</v>
      </c>
      <c r="G61" s="12"/>
      <c r="H61" s="12"/>
      <c r="I61" s="2" t="s">
        <v>12</v>
      </c>
      <c r="J61" s="3">
        <f>Table156781317[[#This Row],[Miktar]]+J60</f>
        <v>66225</v>
      </c>
    </row>
    <row r="62" spans="2:10" ht="17" x14ac:dyDescent="0.2">
      <c r="B62" s="23">
        <v>400580</v>
      </c>
      <c r="C62" s="9"/>
      <c r="D62" s="87">
        <v>44050</v>
      </c>
      <c r="E62" s="7">
        <v>-35910</v>
      </c>
      <c r="F62" s="12" t="s">
        <v>23</v>
      </c>
      <c r="G62" s="20" t="s">
        <v>33</v>
      </c>
      <c r="H62" s="20"/>
      <c r="I62" s="12" t="s">
        <v>12</v>
      </c>
      <c r="J62" s="3">
        <f>Table156781317[[#This Row],[Miktar]]+J61</f>
        <v>30315</v>
      </c>
    </row>
    <row r="63" spans="2:10" ht="17" x14ac:dyDescent="0.2">
      <c r="B63" s="23">
        <v>400590</v>
      </c>
      <c r="C63" s="9"/>
      <c r="D63" s="87">
        <v>44069</v>
      </c>
      <c r="E63" s="7">
        <f>-35910/2</f>
        <v>-17955</v>
      </c>
      <c r="F63" s="12" t="s">
        <v>23</v>
      </c>
      <c r="G63" s="20" t="s">
        <v>28</v>
      </c>
      <c r="H63" s="20"/>
      <c r="I63" s="12" t="s">
        <v>12</v>
      </c>
      <c r="J63" s="3">
        <f>Table156781317[[#This Row],[Miktar]]+J62</f>
        <v>12360</v>
      </c>
    </row>
    <row r="64" spans="2:10" x14ac:dyDescent="0.2">
      <c r="B64" s="23">
        <v>400600</v>
      </c>
      <c r="C64" s="9">
        <v>44075</v>
      </c>
      <c r="D64" s="87">
        <v>44075</v>
      </c>
      <c r="E64" s="7">
        <v>39000</v>
      </c>
      <c r="F64" s="12" t="s">
        <v>0</v>
      </c>
      <c r="G64" s="12"/>
      <c r="H64" s="12"/>
      <c r="I64" s="2" t="s">
        <v>12</v>
      </c>
      <c r="J64" s="3">
        <f>Table156781317[[#This Row],[Miktar]]+J63</f>
        <v>51360</v>
      </c>
    </row>
    <row r="65" spans="2:10" ht="17" x14ac:dyDescent="0.2">
      <c r="B65" s="23">
        <v>400610</v>
      </c>
      <c r="C65" s="9"/>
      <c r="D65" s="87">
        <v>44081</v>
      </c>
      <c r="E65" s="7">
        <v>-35910</v>
      </c>
      <c r="F65" s="12" t="s">
        <v>23</v>
      </c>
      <c r="G65" s="20" t="s">
        <v>33</v>
      </c>
      <c r="H65" s="20"/>
      <c r="I65" s="12" t="s">
        <v>12</v>
      </c>
      <c r="J65" s="3">
        <f>Table156781317[[#This Row],[Miktar]]+J64</f>
        <v>15450</v>
      </c>
    </row>
    <row r="66" spans="2:10" x14ac:dyDescent="0.2">
      <c r="B66" s="23">
        <v>400620</v>
      </c>
      <c r="C66" s="9">
        <v>44105</v>
      </c>
      <c r="D66" s="87">
        <v>44105</v>
      </c>
      <c r="E66" s="7">
        <v>39000</v>
      </c>
      <c r="F66" s="12" t="s">
        <v>0</v>
      </c>
      <c r="G66" s="12"/>
      <c r="H66" s="12"/>
      <c r="I66" s="2" t="s">
        <v>12</v>
      </c>
      <c r="J66" s="3">
        <f>Table156781317[[#This Row],[Miktar]]+J65</f>
        <v>54450</v>
      </c>
    </row>
    <row r="67" spans="2:10" ht="17" x14ac:dyDescent="0.2">
      <c r="B67" s="23">
        <v>400630</v>
      </c>
      <c r="C67" s="9"/>
      <c r="D67" s="87">
        <v>44110</v>
      </c>
      <c r="E67" s="7">
        <v>-35910</v>
      </c>
      <c r="F67" s="12" t="s">
        <v>23</v>
      </c>
      <c r="G67" s="20" t="s">
        <v>33</v>
      </c>
      <c r="H67" s="20"/>
      <c r="I67" s="12" t="s">
        <v>12</v>
      </c>
      <c r="J67" s="3">
        <f>Table156781317[[#This Row],[Miktar]]+J66</f>
        <v>18540</v>
      </c>
    </row>
    <row r="68" spans="2:10" x14ac:dyDescent="0.2">
      <c r="B68" s="23">
        <v>400640</v>
      </c>
      <c r="C68" s="9">
        <v>44136</v>
      </c>
      <c r="D68" s="87">
        <v>44136</v>
      </c>
      <c r="E68" s="7">
        <v>39000</v>
      </c>
      <c r="F68" s="12" t="s">
        <v>0</v>
      </c>
      <c r="G68" s="12"/>
      <c r="H68" s="12"/>
      <c r="I68" s="2" t="s">
        <v>12</v>
      </c>
      <c r="J68" s="3">
        <f>Table156781317[[#This Row],[Miktar]]+J67</f>
        <v>57540</v>
      </c>
    </row>
    <row r="69" spans="2:10" ht="17" x14ac:dyDescent="0.2">
      <c r="B69" s="23">
        <v>400650</v>
      </c>
      <c r="C69" s="9"/>
      <c r="D69" s="87">
        <v>44140</v>
      </c>
      <c r="E69" s="7">
        <v>-35910</v>
      </c>
      <c r="F69" s="12" t="s">
        <v>23</v>
      </c>
      <c r="G69" s="20" t="s">
        <v>33</v>
      </c>
      <c r="H69" s="20"/>
      <c r="I69" s="12" t="s">
        <v>12</v>
      </c>
      <c r="J69" s="3">
        <f>Table156781317[[#This Row],[Miktar]]+J68</f>
        <v>21630</v>
      </c>
    </row>
    <row r="70" spans="2:10" ht="34" x14ac:dyDescent="0.2">
      <c r="B70" s="23">
        <v>400660</v>
      </c>
      <c r="C70" s="9"/>
      <c r="D70" s="87">
        <v>44162</v>
      </c>
      <c r="E70" s="7">
        <f>-(39000-35910)</f>
        <v>-3090</v>
      </c>
      <c r="F70" s="12" t="s">
        <v>23</v>
      </c>
      <c r="G70" s="20" t="s">
        <v>27</v>
      </c>
      <c r="H70" s="20"/>
      <c r="I70" s="12" t="s">
        <v>12</v>
      </c>
      <c r="J70" s="3">
        <f>Table156781317[[#This Row],[Miktar]]+J69</f>
        <v>18540</v>
      </c>
    </row>
    <row r="71" spans="2:10" x14ac:dyDescent="0.2">
      <c r="B71" s="23">
        <v>400670</v>
      </c>
      <c r="C71" s="8">
        <f>Table156781317[[#This Row],[Tarih]]</f>
        <v>44166</v>
      </c>
      <c r="D71" s="87">
        <v>44166</v>
      </c>
      <c r="E71" s="7">
        <v>39000</v>
      </c>
      <c r="F71" s="12" t="s">
        <v>0</v>
      </c>
      <c r="G71" s="12"/>
      <c r="H71" s="12"/>
      <c r="I71" s="2" t="s">
        <v>12</v>
      </c>
      <c r="J71" s="3">
        <f>Table156781317[[#This Row],[Miktar]]+J70</f>
        <v>57540</v>
      </c>
    </row>
    <row r="72" spans="2:10" ht="34" x14ac:dyDescent="0.2">
      <c r="B72" s="23">
        <v>400680</v>
      </c>
      <c r="C72" s="9"/>
      <c r="D72" s="87">
        <v>44169</v>
      </c>
      <c r="E72" s="7">
        <f>-(39000-35910)*6</f>
        <v>-18540</v>
      </c>
      <c r="F72" s="12" t="s">
        <v>23</v>
      </c>
      <c r="G72" s="20" t="s">
        <v>29</v>
      </c>
      <c r="H72" s="20"/>
      <c r="I72" s="2"/>
      <c r="J72" s="3">
        <f>Table156781317[[#This Row],[Miktar]]+J71</f>
        <v>39000</v>
      </c>
    </row>
    <row r="73" spans="2:10" x14ac:dyDescent="0.2">
      <c r="B73" s="23">
        <v>400690</v>
      </c>
      <c r="C73" s="9"/>
      <c r="D73" s="87">
        <v>44169</v>
      </c>
      <c r="E73" s="7">
        <v>-39000</v>
      </c>
      <c r="F73" s="12" t="s">
        <v>23</v>
      </c>
      <c r="G73" s="20"/>
      <c r="H73" s="20"/>
      <c r="I73" s="12" t="s">
        <v>12</v>
      </c>
      <c r="J73" s="3">
        <f>Table156781317[[#This Row],[Miktar]]+J72</f>
        <v>0</v>
      </c>
    </row>
    <row r="74" spans="2:10" x14ac:dyDescent="0.2">
      <c r="B74" s="23">
        <v>400700</v>
      </c>
      <c r="C74" s="8">
        <f>Table156781317[[#This Row],[Tarih]]</f>
        <v>44197</v>
      </c>
      <c r="D74" s="87">
        <v>44197</v>
      </c>
      <c r="E74" s="7">
        <v>39000</v>
      </c>
      <c r="F74" s="12" t="s">
        <v>0</v>
      </c>
      <c r="G74" s="12"/>
      <c r="H74" s="12"/>
      <c r="I74" s="2" t="s">
        <v>12</v>
      </c>
      <c r="J74" s="3">
        <f>Table156781317[[#This Row],[Miktar]]+J73</f>
        <v>39000</v>
      </c>
    </row>
    <row r="75" spans="2:10" x14ac:dyDescent="0.2">
      <c r="B75" s="23">
        <v>400710</v>
      </c>
      <c r="C75" s="9"/>
      <c r="D75" s="87">
        <v>44201</v>
      </c>
      <c r="E75" s="7">
        <v>-39000</v>
      </c>
      <c r="F75" s="12" t="s">
        <v>23</v>
      </c>
      <c r="G75" s="20"/>
      <c r="H75" s="20"/>
      <c r="I75" s="12" t="s">
        <v>12</v>
      </c>
      <c r="J75" s="3">
        <f>Table156781317[[#This Row],[Miktar]]+J74</f>
        <v>0</v>
      </c>
    </row>
    <row r="76" spans="2:10" x14ac:dyDescent="0.2">
      <c r="B76" s="23">
        <v>400720</v>
      </c>
      <c r="C76" s="8">
        <f>Table156781317[[#This Row],[Tarih]]</f>
        <v>44228</v>
      </c>
      <c r="D76" s="87">
        <v>44228</v>
      </c>
      <c r="E76" s="7">
        <v>39000</v>
      </c>
      <c r="F76" s="12" t="s">
        <v>0</v>
      </c>
      <c r="G76" s="12"/>
      <c r="H76" s="12"/>
      <c r="I76" s="2" t="s">
        <v>12</v>
      </c>
      <c r="J76" s="3">
        <f>Table156781317[[#This Row],[Miktar]]+J75</f>
        <v>39000</v>
      </c>
    </row>
    <row r="77" spans="2:10" x14ac:dyDescent="0.2">
      <c r="B77" s="23">
        <v>400730</v>
      </c>
      <c r="C77" s="9"/>
      <c r="D77" s="87">
        <v>44232</v>
      </c>
      <c r="E77" s="7">
        <v>-39000</v>
      </c>
      <c r="F77" s="12" t="s">
        <v>23</v>
      </c>
      <c r="G77" s="20"/>
      <c r="H77" s="20"/>
      <c r="I77" s="12" t="s">
        <v>12</v>
      </c>
      <c r="J77" s="3">
        <f>Table156781317[[#This Row],[Miktar]]+J76</f>
        <v>0</v>
      </c>
    </row>
    <row r="78" spans="2:10" x14ac:dyDescent="0.2">
      <c r="B78" s="23">
        <v>400740</v>
      </c>
      <c r="C78" s="8">
        <f>Table156781317[[#This Row],[Tarih]]</f>
        <v>44256</v>
      </c>
      <c r="D78" s="87">
        <v>44256</v>
      </c>
      <c r="E78" s="7">
        <v>39000</v>
      </c>
      <c r="F78" s="12" t="s">
        <v>0</v>
      </c>
      <c r="G78" s="12"/>
      <c r="H78" s="12"/>
      <c r="I78" s="2" t="s">
        <v>12</v>
      </c>
      <c r="J78" s="3">
        <f>Table156781317[[#This Row],[Miktar]]+J77</f>
        <v>39000</v>
      </c>
    </row>
    <row r="79" spans="2:10" x14ac:dyDescent="0.2">
      <c r="B79" s="23">
        <v>400750</v>
      </c>
      <c r="C79" s="9"/>
      <c r="D79" s="87">
        <v>44260</v>
      </c>
      <c r="E79" s="7">
        <v>-39000</v>
      </c>
      <c r="F79" s="12" t="s">
        <v>23</v>
      </c>
      <c r="G79" s="20"/>
      <c r="H79" s="20"/>
      <c r="I79" s="12" t="s">
        <v>12</v>
      </c>
      <c r="J79" s="3">
        <f>Table156781317[[#This Row],[Miktar]]+J78</f>
        <v>0</v>
      </c>
    </row>
    <row r="80" spans="2:10" x14ac:dyDescent="0.2">
      <c r="B80" s="23">
        <v>400760</v>
      </c>
      <c r="C80" s="8">
        <f>Table156781317[[#This Row],[Tarih]]</f>
        <v>44287</v>
      </c>
      <c r="D80" s="79">
        <v>44287</v>
      </c>
      <c r="E80" s="7">
        <v>39000</v>
      </c>
      <c r="F80" s="2" t="s">
        <v>0</v>
      </c>
      <c r="G80" s="2"/>
      <c r="H80" s="2"/>
      <c r="I80" s="2" t="s">
        <v>12</v>
      </c>
      <c r="J80" s="3">
        <f>Table156781317[[#This Row],[Miktar]]+J79</f>
        <v>39000</v>
      </c>
    </row>
    <row r="81" spans="2:10" x14ac:dyDescent="0.2">
      <c r="B81" s="23">
        <v>400770</v>
      </c>
      <c r="C81" s="8"/>
      <c r="D81" s="79">
        <v>44291</v>
      </c>
      <c r="E81" s="7">
        <v>-39000</v>
      </c>
      <c r="F81" s="2" t="s">
        <v>23</v>
      </c>
      <c r="G81" s="2"/>
      <c r="H81" s="2"/>
      <c r="I81" s="2"/>
      <c r="J81" s="3">
        <f>Table156781317[[#This Row],[Miktar]]+J80</f>
        <v>0</v>
      </c>
    </row>
    <row r="82" spans="2:10" x14ac:dyDescent="0.2">
      <c r="B82" s="23">
        <v>400780</v>
      </c>
      <c r="C82" s="8">
        <f>Table156781317[[#This Row],[Tarih]]</f>
        <v>44317</v>
      </c>
      <c r="D82" s="79">
        <v>44317</v>
      </c>
      <c r="E82" s="7">
        <v>39000</v>
      </c>
      <c r="F82" s="2" t="s">
        <v>0</v>
      </c>
      <c r="G82" s="2"/>
      <c r="H82" s="2"/>
      <c r="I82" s="2" t="s">
        <v>12</v>
      </c>
      <c r="J82" s="3">
        <f>Table156781317[[#This Row],[Miktar]]+J81</f>
        <v>39000</v>
      </c>
    </row>
    <row r="83" spans="2:10" x14ac:dyDescent="0.2">
      <c r="B83" s="23">
        <v>400790</v>
      </c>
      <c r="C83" s="8"/>
      <c r="D83" s="79">
        <v>44321</v>
      </c>
      <c r="E83" s="7">
        <v>-39000</v>
      </c>
      <c r="F83" s="2" t="s">
        <v>23</v>
      </c>
      <c r="G83" s="2" t="s">
        <v>72</v>
      </c>
      <c r="H83" s="2" t="s">
        <v>90</v>
      </c>
      <c r="I83" s="2" t="s">
        <v>12</v>
      </c>
      <c r="J83" s="3">
        <f>Table156781317[[#This Row],[Miktar]]+J82</f>
        <v>0</v>
      </c>
    </row>
    <row r="84" spans="2:10" x14ac:dyDescent="0.2">
      <c r="B84" s="23">
        <v>400800</v>
      </c>
      <c r="C84" s="8">
        <f>Table156781317[[#This Row],[Tarih]]</f>
        <v>44348</v>
      </c>
      <c r="D84" s="79">
        <v>44348</v>
      </c>
      <c r="E84" s="7">
        <v>39000</v>
      </c>
      <c r="F84" s="2" t="s">
        <v>0</v>
      </c>
      <c r="G84" s="2"/>
      <c r="H84" s="2" t="s">
        <v>88</v>
      </c>
      <c r="I84" s="2" t="s">
        <v>12</v>
      </c>
      <c r="J84" s="3">
        <f>Table156781317[[#This Row],[Miktar]]+J83</f>
        <v>39000</v>
      </c>
    </row>
    <row r="85" spans="2:10" x14ac:dyDescent="0.2">
      <c r="B85" s="54">
        <v>400810</v>
      </c>
      <c r="C85" s="8"/>
      <c r="D85" s="79">
        <v>44351</v>
      </c>
      <c r="E85" s="7">
        <v>-39000</v>
      </c>
      <c r="F85" s="2" t="s">
        <v>23</v>
      </c>
      <c r="G85" s="2" t="s">
        <v>72</v>
      </c>
      <c r="H85" s="2" t="s">
        <v>90</v>
      </c>
      <c r="I85" s="2" t="s">
        <v>12</v>
      </c>
      <c r="J85" s="3">
        <f>Table156781317[[#This Row],[Miktar]]+J84</f>
        <v>0</v>
      </c>
    </row>
    <row r="86" spans="2:10" x14ac:dyDescent="0.2">
      <c r="B86" s="55">
        <v>400820</v>
      </c>
      <c r="C86" s="56">
        <f>Table156781317[[#This Row],[Tarih]]</f>
        <v>44378</v>
      </c>
      <c r="D86" s="93">
        <v>44378</v>
      </c>
      <c r="E86" s="57">
        <v>42900</v>
      </c>
      <c r="F86" s="58" t="s">
        <v>0</v>
      </c>
      <c r="G86" s="58"/>
      <c r="H86" s="58" t="s">
        <v>88</v>
      </c>
      <c r="I86" s="58" t="s">
        <v>12</v>
      </c>
      <c r="J86" s="59">
        <f>Table156781317[[#This Row],[Miktar]]+J85</f>
        <v>42900</v>
      </c>
    </row>
    <row r="87" spans="2:10" x14ac:dyDescent="0.2">
      <c r="B87" s="23">
        <v>400830</v>
      </c>
      <c r="C87" s="8"/>
      <c r="D87" s="79">
        <v>44382</v>
      </c>
      <c r="E87" s="7">
        <v>-39000</v>
      </c>
      <c r="F87" s="2" t="s">
        <v>23</v>
      </c>
      <c r="G87" s="2" t="s">
        <v>72</v>
      </c>
      <c r="H87" s="2" t="s">
        <v>90</v>
      </c>
      <c r="I87" s="2" t="s">
        <v>12</v>
      </c>
      <c r="J87" s="3">
        <f>Table156781317[[#This Row],[Miktar]]+J86</f>
        <v>3900</v>
      </c>
    </row>
    <row r="88" spans="2:10" x14ac:dyDescent="0.2">
      <c r="B88" s="23">
        <v>400840</v>
      </c>
      <c r="C88" s="8">
        <f>Table156781317[[#This Row],[Tarih]]</f>
        <v>44409</v>
      </c>
      <c r="D88" s="79">
        <v>44409</v>
      </c>
      <c r="E88" s="7">
        <v>35000</v>
      </c>
      <c r="F88" s="2" t="s">
        <v>0</v>
      </c>
      <c r="G88" s="2" t="s">
        <v>95</v>
      </c>
      <c r="H88" s="2" t="s">
        <v>88</v>
      </c>
      <c r="I88" s="2" t="s">
        <v>12</v>
      </c>
      <c r="J88" s="3">
        <f>Table156781317[[#This Row],[Miktar]]+J87</f>
        <v>38900</v>
      </c>
    </row>
    <row r="89" spans="2:10" x14ac:dyDescent="0.2">
      <c r="B89" s="23">
        <v>400850</v>
      </c>
      <c r="C89" s="8"/>
      <c r="D89" s="79">
        <v>44413</v>
      </c>
      <c r="E89" s="7">
        <v>-3900</v>
      </c>
      <c r="F89" s="2" t="s">
        <v>23</v>
      </c>
      <c r="G89" s="2" t="s">
        <v>72</v>
      </c>
      <c r="H89" s="2" t="s">
        <v>90</v>
      </c>
      <c r="I89" s="2" t="s">
        <v>12</v>
      </c>
      <c r="J89" s="3">
        <f>Table156781317[[#This Row],[Miktar]]+J88</f>
        <v>35000</v>
      </c>
    </row>
    <row r="90" spans="2:10" x14ac:dyDescent="0.2">
      <c r="B90" s="23">
        <v>400860</v>
      </c>
      <c r="C90" s="8"/>
      <c r="D90" s="79">
        <v>44413</v>
      </c>
      <c r="E90" s="7">
        <v>-35000</v>
      </c>
      <c r="F90" s="2" t="s">
        <v>23</v>
      </c>
      <c r="G90" s="2"/>
      <c r="H90" s="2" t="s">
        <v>88</v>
      </c>
      <c r="I90" s="2" t="s">
        <v>12</v>
      </c>
      <c r="J90" s="3">
        <f>Table156781317[[#This Row],[Miktar]]+J89</f>
        <v>0</v>
      </c>
    </row>
    <row r="91" spans="2:10" x14ac:dyDescent="0.2">
      <c r="B91" s="23">
        <v>400870</v>
      </c>
      <c r="C91" s="8">
        <f>Table156781317[[#This Row],[Tarih]]</f>
        <v>44440</v>
      </c>
      <c r="D91" s="79">
        <v>44440</v>
      </c>
      <c r="E91" s="7">
        <v>42900</v>
      </c>
      <c r="F91" s="2" t="s">
        <v>0</v>
      </c>
      <c r="G91" s="2"/>
      <c r="H91" s="2" t="s">
        <v>88</v>
      </c>
      <c r="I91" s="2" t="s">
        <v>12</v>
      </c>
      <c r="J91" s="3">
        <f>Table156781317[[#This Row],[Miktar]]+J90</f>
        <v>42900</v>
      </c>
    </row>
    <row r="92" spans="2:10" x14ac:dyDescent="0.2">
      <c r="B92" s="23">
        <v>400880</v>
      </c>
      <c r="C92" s="8"/>
      <c r="D92" s="79">
        <v>44445</v>
      </c>
      <c r="E92" s="7">
        <f>-(15015/0.35)</f>
        <v>-42900</v>
      </c>
      <c r="F92" s="2" t="s">
        <v>23</v>
      </c>
      <c r="G92" s="2" t="s">
        <v>72</v>
      </c>
      <c r="H92" s="2" t="s">
        <v>90</v>
      </c>
      <c r="I92" s="2" t="s">
        <v>12</v>
      </c>
      <c r="J92" s="3">
        <f>Table156781317[[#This Row],[Miktar]]+J91</f>
        <v>0</v>
      </c>
    </row>
    <row r="93" spans="2:10" x14ac:dyDescent="0.2">
      <c r="B93" s="23">
        <v>400890</v>
      </c>
      <c r="C93" s="8">
        <f>Table156781317[[#This Row],[Tarih]]</f>
        <v>44470</v>
      </c>
      <c r="D93" s="79">
        <v>44470</v>
      </c>
      <c r="E93" s="7">
        <v>42900</v>
      </c>
      <c r="F93" s="2" t="s">
        <v>0</v>
      </c>
      <c r="G93" s="2"/>
      <c r="H93" s="2" t="s">
        <v>88</v>
      </c>
      <c r="I93" s="2" t="s">
        <v>12</v>
      </c>
      <c r="J93" s="3">
        <f>Table156781317[[#This Row],[Miktar]]+J92</f>
        <v>42900</v>
      </c>
    </row>
    <row r="94" spans="2:10" x14ac:dyDescent="0.2">
      <c r="B94" s="23">
        <v>400900</v>
      </c>
      <c r="C94" s="8"/>
      <c r="D94" s="79">
        <v>44474</v>
      </c>
      <c r="E94" s="7">
        <f>-(15015/0.35)</f>
        <v>-42900</v>
      </c>
      <c r="F94" s="2" t="s">
        <v>23</v>
      </c>
      <c r="G94" s="2" t="s">
        <v>72</v>
      </c>
      <c r="H94" s="2" t="s">
        <v>90</v>
      </c>
      <c r="I94" s="2" t="s">
        <v>12</v>
      </c>
      <c r="J94" s="3">
        <f>Table156781317[[#This Row],[Miktar]]+J93</f>
        <v>0</v>
      </c>
    </row>
    <row r="95" spans="2:10" x14ac:dyDescent="0.2">
      <c r="B95" s="23">
        <v>400910</v>
      </c>
      <c r="C95" s="8">
        <f>Table156781317[[#This Row],[Tarih]]</f>
        <v>44501</v>
      </c>
      <c r="D95" s="79">
        <v>44501</v>
      </c>
      <c r="E95" s="7">
        <v>42900</v>
      </c>
      <c r="F95" s="2" t="s">
        <v>0</v>
      </c>
      <c r="G95" s="2"/>
      <c r="H95" s="2"/>
      <c r="I95" s="2" t="s">
        <v>12</v>
      </c>
      <c r="J95" s="3">
        <f>Table156781317[[#This Row],[Miktar]]+J94</f>
        <v>42900</v>
      </c>
    </row>
    <row r="96" spans="2:10" x14ac:dyDescent="0.2">
      <c r="B96" s="23">
        <v>400920</v>
      </c>
      <c r="C96" s="8"/>
      <c r="D96" s="79">
        <v>44505</v>
      </c>
      <c r="E96" s="7">
        <f>-(15015/0.35)</f>
        <v>-42900</v>
      </c>
      <c r="F96" s="2" t="s">
        <v>23</v>
      </c>
      <c r="G96" s="2" t="s">
        <v>72</v>
      </c>
      <c r="H96" s="2" t="s">
        <v>90</v>
      </c>
      <c r="I96" s="2" t="s">
        <v>12</v>
      </c>
      <c r="J96" s="3">
        <f>Table156781317[[#This Row],[Miktar]]+J95</f>
        <v>0</v>
      </c>
    </row>
    <row r="97" spans="2:10" x14ac:dyDescent="0.2">
      <c r="B97" s="23">
        <v>400930</v>
      </c>
      <c r="C97" s="8">
        <f>Table156781317[[#This Row],[Tarih]]</f>
        <v>44531</v>
      </c>
      <c r="D97" s="79">
        <v>44531</v>
      </c>
      <c r="E97" s="7">
        <v>42900</v>
      </c>
      <c r="F97" s="2" t="s">
        <v>0</v>
      </c>
      <c r="G97" s="2"/>
      <c r="H97" s="2"/>
      <c r="I97" s="2" t="s">
        <v>12</v>
      </c>
      <c r="J97" s="3">
        <f>Table156781317[[#This Row],[Miktar]]+J96</f>
        <v>42900</v>
      </c>
    </row>
    <row r="98" spans="2:10" x14ac:dyDescent="0.2">
      <c r="B98" s="23">
        <v>400940</v>
      </c>
      <c r="C98" s="8"/>
      <c r="D98" s="79">
        <v>44536</v>
      </c>
      <c r="E98" s="7">
        <f>-(15015/0.35)</f>
        <v>-42900</v>
      </c>
      <c r="F98" s="2" t="s">
        <v>23</v>
      </c>
      <c r="G98" s="2" t="s">
        <v>72</v>
      </c>
      <c r="H98" s="2" t="s">
        <v>90</v>
      </c>
      <c r="I98" s="2" t="s">
        <v>12</v>
      </c>
      <c r="J98" s="3">
        <f>Table156781317[[#This Row],[Miktar]]+J97</f>
        <v>0</v>
      </c>
    </row>
    <row r="99" spans="2:10" x14ac:dyDescent="0.2">
      <c r="B99" s="23">
        <v>400950</v>
      </c>
      <c r="C99" s="8">
        <f>Table156781317[[#This Row],[Tarih]]</f>
        <v>44562</v>
      </c>
      <c r="D99" s="79">
        <v>44562</v>
      </c>
      <c r="E99" s="7">
        <v>42900</v>
      </c>
      <c r="F99" s="2" t="s">
        <v>0</v>
      </c>
      <c r="G99" s="2"/>
      <c r="H99" s="2"/>
      <c r="I99" s="2" t="s">
        <v>12</v>
      </c>
      <c r="J99" s="3">
        <f>Table156781317[[#This Row],[Miktar]]+J98</f>
        <v>42900</v>
      </c>
    </row>
    <row r="100" spans="2:10" x14ac:dyDescent="0.2">
      <c r="B100" s="23">
        <v>400960</v>
      </c>
      <c r="C100" s="8"/>
      <c r="D100" s="79">
        <v>44566</v>
      </c>
      <c r="E100" s="7">
        <f>-(15015/0.35)</f>
        <v>-42900</v>
      </c>
      <c r="F100" s="2" t="s">
        <v>23</v>
      </c>
      <c r="G100" s="2" t="s">
        <v>72</v>
      </c>
      <c r="H100" s="2" t="s">
        <v>90</v>
      </c>
      <c r="I100" s="2" t="s">
        <v>12</v>
      </c>
      <c r="J100" s="3">
        <f>Table156781317[[#This Row],[Miktar]]+J99</f>
        <v>0</v>
      </c>
    </row>
    <row r="101" spans="2:10" x14ac:dyDescent="0.2">
      <c r="B101" s="23">
        <v>400970</v>
      </c>
      <c r="C101" s="8">
        <f>Table156781317[[#This Row],[Tarih]]</f>
        <v>44593</v>
      </c>
      <c r="D101" s="79">
        <v>44593</v>
      </c>
      <c r="E101" s="7">
        <v>42900</v>
      </c>
      <c r="F101" s="2" t="s">
        <v>0</v>
      </c>
      <c r="G101" s="61"/>
      <c r="H101" s="61"/>
      <c r="I101" s="2" t="s">
        <v>12</v>
      </c>
      <c r="J101" s="3">
        <f>Table156781317[[#This Row],[Miktar]]+J100</f>
        <v>42900</v>
      </c>
    </row>
    <row r="102" spans="2:10" x14ac:dyDescent="0.2">
      <c r="B102" s="23">
        <v>400980</v>
      </c>
      <c r="C102" s="8"/>
      <c r="D102" s="79">
        <v>44599</v>
      </c>
      <c r="E102" s="7">
        <f>-(15015/0.35)</f>
        <v>-42900</v>
      </c>
      <c r="F102" s="2" t="s">
        <v>23</v>
      </c>
      <c r="G102" s="2" t="s">
        <v>72</v>
      </c>
      <c r="H102" s="2" t="s">
        <v>90</v>
      </c>
      <c r="I102" s="2" t="s">
        <v>12</v>
      </c>
      <c r="J102" s="3">
        <f>Table156781317[[#This Row],[Miktar]]+J101</f>
        <v>0</v>
      </c>
    </row>
    <row r="103" spans="2:10" x14ac:dyDescent="0.2">
      <c r="B103" s="23">
        <v>400990</v>
      </c>
      <c r="C103" s="8">
        <f>Table156781317[[#This Row],[Tarih]]</f>
        <v>44621</v>
      </c>
      <c r="D103" s="79">
        <v>44621</v>
      </c>
      <c r="E103" s="7">
        <v>42900</v>
      </c>
      <c r="F103" s="2" t="s">
        <v>0</v>
      </c>
      <c r="G103" s="61"/>
      <c r="H103" s="61"/>
      <c r="I103" s="2" t="s">
        <v>12</v>
      </c>
      <c r="J103" s="3">
        <f>Table156781317[[#This Row],[Miktar]]+J102</f>
        <v>42900</v>
      </c>
    </row>
    <row r="104" spans="2:10" x14ac:dyDescent="0.2">
      <c r="B104" s="23">
        <v>401000</v>
      </c>
      <c r="C104" s="8"/>
      <c r="D104" s="79">
        <v>44627</v>
      </c>
      <c r="E104" s="7">
        <f>-(15015/0.35)</f>
        <v>-42900</v>
      </c>
      <c r="F104" s="2" t="s">
        <v>23</v>
      </c>
      <c r="G104" s="2" t="s">
        <v>72</v>
      </c>
      <c r="H104" s="2" t="s">
        <v>90</v>
      </c>
      <c r="I104" s="2" t="s">
        <v>12</v>
      </c>
      <c r="J104" s="3">
        <f>Table156781317[[#This Row],[Miktar]]+J103</f>
        <v>0</v>
      </c>
    </row>
    <row r="105" spans="2:10" x14ac:dyDescent="0.2">
      <c r="B105" s="23">
        <v>401010</v>
      </c>
      <c r="C105" s="8">
        <f>Table156781317[[#This Row],[Tarih]]</f>
        <v>44652</v>
      </c>
      <c r="D105" s="79">
        <v>44652</v>
      </c>
      <c r="E105" s="7">
        <v>42900</v>
      </c>
      <c r="F105" s="2" t="s">
        <v>0</v>
      </c>
      <c r="G105" s="61"/>
      <c r="H105" s="61"/>
      <c r="I105" s="2" t="s">
        <v>12</v>
      </c>
      <c r="J105" s="3">
        <f>Table156781317[[#This Row],[Miktar]]+J104</f>
        <v>42900</v>
      </c>
    </row>
    <row r="106" spans="2:10" ht="17" thickBot="1" x14ac:dyDescent="0.25">
      <c r="B106" s="69">
        <v>401020</v>
      </c>
      <c r="C106" s="10"/>
      <c r="D106" s="82">
        <v>44656</v>
      </c>
      <c r="E106" s="6">
        <f>-(15015/0.35)</f>
        <v>-42900</v>
      </c>
      <c r="F106" s="10" t="s">
        <v>23</v>
      </c>
      <c r="G106" s="10" t="s">
        <v>72</v>
      </c>
      <c r="H106" s="10" t="s">
        <v>90</v>
      </c>
      <c r="I106" s="10" t="s">
        <v>12</v>
      </c>
      <c r="J106" s="66">
        <f>Table156781317[[#This Row],[Miktar]]+J105</f>
        <v>0</v>
      </c>
    </row>
    <row r="107" spans="2:10" ht="17" thickTop="1" x14ac:dyDescent="0.2">
      <c r="B107" s="68">
        <v>401030</v>
      </c>
      <c r="C107" s="8">
        <f>Table156781317[[#This Row],[Tarih]]</f>
        <v>44682</v>
      </c>
      <c r="D107" s="79">
        <v>44682</v>
      </c>
      <c r="E107" s="7">
        <v>57500</v>
      </c>
      <c r="F107" s="2" t="s">
        <v>0</v>
      </c>
      <c r="G107" s="2"/>
      <c r="H107" s="61"/>
      <c r="I107" s="2" t="s">
        <v>12</v>
      </c>
      <c r="J107" s="3">
        <f>Table156781317[[#This Row],[Miktar]]+J106</f>
        <v>57500</v>
      </c>
    </row>
    <row r="108" spans="2:10" ht="17" x14ac:dyDescent="0.2">
      <c r="B108" s="23">
        <v>401040</v>
      </c>
      <c r="C108" s="8"/>
      <c r="D108" s="79">
        <v>44686</v>
      </c>
      <c r="E108" s="7">
        <f>-(15015/0.35)</f>
        <v>-42900</v>
      </c>
      <c r="F108" s="2" t="s">
        <v>23</v>
      </c>
      <c r="G108" s="2" t="s">
        <v>72</v>
      </c>
      <c r="H108" s="61" t="s">
        <v>90</v>
      </c>
      <c r="I108" s="2" t="s">
        <v>12</v>
      </c>
      <c r="J108" s="3">
        <f>Table156781317[[#This Row],[Miktar]]+J107</f>
        <v>14600</v>
      </c>
    </row>
    <row r="109" spans="2:10" x14ac:dyDescent="0.2">
      <c r="B109" s="23">
        <v>401050</v>
      </c>
      <c r="C109" s="8">
        <f>Table156781317[[#This Row],[Tarih]]</f>
        <v>44713</v>
      </c>
      <c r="D109" s="79">
        <v>44713</v>
      </c>
      <c r="E109" s="7">
        <v>57500</v>
      </c>
      <c r="F109" s="2" t="s">
        <v>0</v>
      </c>
      <c r="G109" s="2"/>
      <c r="H109" s="61"/>
      <c r="I109" s="2" t="s">
        <v>12</v>
      </c>
      <c r="J109" s="3">
        <f>Table156781317[[#This Row],[Miktar]]+J108</f>
        <v>72100</v>
      </c>
    </row>
    <row r="110" spans="2:10" ht="17" x14ac:dyDescent="0.2">
      <c r="B110" s="23">
        <v>401060</v>
      </c>
      <c r="C110" s="8"/>
      <c r="D110" s="79">
        <v>44718</v>
      </c>
      <c r="E110" s="7">
        <f>-20125/0.35</f>
        <v>-57500.000000000007</v>
      </c>
      <c r="F110" s="2" t="s">
        <v>23</v>
      </c>
      <c r="G110" s="2" t="s">
        <v>72</v>
      </c>
      <c r="H110" s="61" t="s">
        <v>90</v>
      </c>
      <c r="I110" s="2" t="s">
        <v>12</v>
      </c>
      <c r="J110" s="3">
        <f>Table156781317[[#This Row],[Miktar]]+J109</f>
        <v>14599.999999999993</v>
      </c>
    </row>
    <row r="111" spans="2:10" x14ac:dyDescent="0.2">
      <c r="B111" s="23">
        <v>401070</v>
      </c>
      <c r="C111" s="8"/>
      <c r="D111" s="79">
        <v>44718</v>
      </c>
      <c r="E111" s="7">
        <f>-5110/0.35</f>
        <v>-14600.000000000002</v>
      </c>
      <c r="F111" s="2" t="s">
        <v>98</v>
      </c>
      <c r="G111" s="2"/>
      <c r="H111" s="61"/>
      <c r="I111" s="2" t="s">
        <v>12</v>
      </c>
      <c r="J111" s="3">
        <f>Table156781317[[#This Row],[Miktar]]+J110</f>
        <v>0</v>
      </c>
    </row>
    <row r="112" spans="2:10" x14ac:dyDescent="0.2">
      <c r="B112" s="23">
        <v>401080</v>
      </c>
      <c r="C112" s="8">
        <f>Table156781317[[#This Row],[Tarih]]</f>
        <v>44743</v>
      </c>
      <c r="D112" s="79">
        <v>44743</v>
      </c>
      <c r="E112" s="7">
        <v>57500</v>
      </c>
      <c r="F112" s="2" t="s">
        <v>0</v>
      </c>
      <c r="G112" s="2"/>
      <c r="H112" s="61"/>
      <c r="I112" s="2" t="s">
        <v>12</v>
      </c>
      <c r="J112" s="3">
        <f>Table156781317[[#This Row],[Miktar]]+J111</f>
        <v>57500</v>
      </c>
    </row>
    <row r="113" spans="2:10" ht="17" x14ac:dyDescent="0.2">
      <c r="B113" s="23">
        <v>401090</v>
      </c>
      <c r="C113" s="8"/>
      <c r="D113" s="79">
        <v>44755</v>
      </c>
      <c r="E113" s="7">
        <f>-20125/0.35</f>
        <v>-57500.000000000007</v>
      </c>
      <c r="F113" s="2" t="s">
        <v>23</v>
      </c>
      <c r="G113" s="2" t="s">
        <v>72</v>
      </c>
      <c r="H113" s="61" t="s">
        <v>90</v>
      </c>
      <c r="I113" s="2" t="s">
        <v>12</v>
      </c>
      <c r="J113" s="3">
        <f>Table156781317[[#This Row],[Miktar]]+J112</f>
        <v>0</v>
      </c>
    </row>
    <row r="114" spans="2:10" x14ac:dyDescent="0.2">
      <c r="B114" s="23">
        <v>401100</v>
      </c>
      <c r="C114" s="8">
        <f>Table156781317[[#This Row],[Tarih]]</f>
        <v>44774</v>
      </c>
      <c r="D114" s="79">
        <v>44774</v>
      </c>
      <c r="E114" s="7">
        <v>57500</v>
      </c>
      <c r="F114" s="2" t="s">
        <v>0</v>
      </c>
      <c r="G114" s="2"/>
      <c r="H114" s="61"/>
      <c r="I114" s="2" t="s">
        <v>12</v>
      </c>
      <c r="J114" s="3">
        <f>Table156781317[[#This Row],[Miktar]]+J113</f>
        <v>57500</v>
      </c>
    </row>
    <row r="115" spans="2:10" ht="17" x14ac:dyDescent="0.2">
      <c r="B115" s="23">
        <v>401110</v>
      </c>
      <c r="C115" s="8"/>
      <c r="D115" s="79">
        <v>44778</v>
      </c>
      <c r="E115" s="7">
        <f>-20125/0.35</f>
        <v>-57500.000000000007</v>
      </c>
      <c r="F115" s="2" t="s">
        <v>23</v>
      </c>
      <c r="G115" s="2" t="s">
        <v>72</v>
      </c>
      <c r="H115" s="61" t="s">
        <v>90</v>
      </c>
      <c r="I115" s="2" t="s">
        <v>12</v>
      </c>
      <c r="J115" s="3">
        <f>Table156781317[[#This Row],[Miktar]]+J114</f>
        <v>0</v>
      </c>
    </row>
    <row r="116" spans="2:10" x14ac:dyDescent="0.2">
      <c r="B116" s="23">
        <v>401120</v>
      </c>
      <c r="C116" s="8">
        <f>Table156781317[[#This Row],[Tarih]]</f>
        <v>44805</v>
      </c>
      <c r="D116" s="79">
        <v>44805</v>
      </c>
      <c r="E116" s="7">
        <v>57500</v>
      </c>
      <c r="F116" s="2" t="s">
        <v>0</v>
      </c>
      <c r="G116" s="2"/>
      <c r="H116" s="61"/>
      <c r="I116" s="2" t="s">
        <v>12</v>
      </c>
      <c r="J116" s="3">
        <f>Table156781317[[#This Row],[Miktar]]+J115</f>
        <v>57500</v>
      </c>
    </row>
    <row r="117" spans="2:10" ht="17" x14ac:dyDescent="0.2">
      <c r="B117" s="23">
        <v>401130</v>
      </c>
      <c r="C117" s="8"/>
      <c r="D117" s="79">
        <v>44809</v>
      </c>
      <c r="E117" s="7">
        <f>-20125/0.35</f>
        <v>-57500.000000000007</v>
      </c>
      <c r="F117" s="2" t="s">
        <v>23</v>
      </c>
      <c r="G117" s="2" t="s">
        <v>72</v>
      </c>
      <c r="H117" s="61" t="s">
        <v>90</v>
      </c>
      <c r="I117" s="2" t="s">
        <v>12</v>
      </c>
      <c r="J117" s="3">
        <f>Table156781317[[#This Row],[Miktar]]+J116</f>
        <v>0</v>
      </c>
    </row>
    <row r="118" spans="2:10" x14ac:dyDescent="0.2">
      <c r="B118" s="23">
        <v>401140</v>
      </c>
      <c r="C118" s="8">
        <f>Table156781317[[#This Row],[Tarih]]</f>
        <v>44835</v>
      </c>
      <c r="D118" s="79">
        <v>44835</v>
      </c>
      <c r="E118" s="7">
        <v>57500</v>
      </c>
      <c r="F118" s="2" t="s">
        <v>0</v>
      </c>
      <c r="G118" s="2"/>
      <c r="H118" s="61"/>
      <c r="I118" s="2"/>
      <c r="J118" s="3">
        <f>Table156781317[[#This Row],[Miktar]]+J117</f>
        <v>57500</v>
      </c>
    </row>
    <row r="119" spans="2:10" ht="17" x14ac:dyDescent="0.2">
      <c r="B119" s="23">
        <v>401150</v>
      </c>
      <c r="C119" s="8"/>
      <c r="D119" s="79">
        <v>44839</v>
      </c>
      <c r="E119" s="7">
        <f>-20125/0.35</f>
        <v>-57500.000000000007</v>
      </c>
      <c r="F119" s="2" t="s">
        <v>23</v>
      </c>
      <c r="G119" s="2" t="s">
        <v>72</v>
      </c>
      <c r="H119" s="61" t="s">
        <v>90</v>
      </c>
      <c r="I119" s="2" t="s">
        <v>12</v>
      </c>
      <c r="J119" s="3">
        <f>Table156781317[[#This Row],[Miktar]]+J118</f>
        <v>0</v>
      </c>
    </row>
    <row r="120" spans="2:10" x14ac:dyDescent="0.2">
      <c r="B120" s="23">
        <v>401160</v>
      </c>
      <c r="C120" s="8">
        <f>Table156781317[[#This Row],[Tarih]]</f>
        <v>44866</v>
      </c>
      <c r="D120" s="79">
        <v>44866</v>
      </c>
      <c r="E120" s="7">
        <v>57500</v>
      </c>
      <c r="F120" s="2" t="s">
        <v>0</v>
      </c>
      <c r="G120" s="2"/>
      <c r="H120" s="61"/>
      <c r="I120" s="2"/>
      <c r="J120" s="3">
        <f>Table156781317[[#This Row],[Miktar]]+J119</f>
        <v>57500</v>
      </c>
    </row>
    <row r="121" spans="2:10" ht="17" x14ac:dyDescent="0.2">
      <c r="B121" s="23">
        <v>401170</v>
      </c>
      <c r="C121" s="8"/>
      <c r="D121" s="79">
        <v>44872</v>
      </c>
      <c r="E121" s="7">
        <f>-20125/0.35</f>
        <v>-57500.000000000007</v>
      </c>
      <c r="F121" s="2" t="s">
        <v>23</v>
      </c>
      <c r="G121" s="2" t="s">
        <v>72</v>
      </c>
      <c r="H121" s="61" t="s">
        <v>90</v>
      </c>
      <c r="I121" s="2" t="s">
        <v>12</v>
      </c>
      <c r="J121" s="3">
        <f>Table156781317[[#This Row],[Miktar]]+J120</f>
        <v>0</v>
      </c>
    </row>
    <row r="122" spans="2:10" x14ac:dyDescent="0.2">
      <c r="B122" s="23">
        <v>401180</v>
      </c>
      <c r="C122" s="8">
        <f>Table156781317[[#This Row],[Tarih]]</f>
        <v>44896</v>
      </c>
      <c r="D122" s="79">
        <v>44896</v>
      </c>
      <c r="E122" s="7">
        <v>57500</v>
      </c>
      <c r="F122" s="2" t="s">
        <v>0</v>
      </c>
      <c r="G122" s="2"/>
      <c r="H122" s="61"/>
      <c r="I122" s="2"/>
      <c r="J122" s="3">
        <f>Table156781317[[#This Row],[Miktar]]+J121</f>
        <v>57500</v>
      </c>
    </row>
    <row r="123" spans="2:10" ht="17" x14ac:dyDescent="0.2">
      <c r="B123" s="23">
        <v>401190</v>
      </c>
      <c r="C123" s="8"/>
      <c r="D123" s="79">
        <v>44900</v>
      </c>
      <c r="E123" s="7">
        <f>-20125/0.35</f>
        <v>-57500.000000000007</v>
      </c>
      <c r="F123" s="2" t="s">
        <v>23</v>
      </c>
      <c r="G123" s="2" t="s">
        <v>72</v>
      </c>
      <c r="H123" s="61" t="s">
        <v>90</v>
      </c>
      <c r="I123" s="2" t="s">
        <v>12</v>
      </c>
      <c r="J123" s="3">
        <f>Table156781317[[#This Row],[Miktar]]+J122</f>
        <v>0</v>
      </c>
    </row>
    <row r="124" spans="2:10" x14ac:dyDescent="0.2">
      <c r="B124" s="23">
        <v>401200</v>
      </c>
      <c r="C124" s="8">
        <f>Table156781317[[#This Row],[Tarih]]</f>
        <v>44927</v>
      </c>
      <c r="D124" s="79">
        <v>44927</v>
      </c>
      <c r="E124" s="7">
        <v>57500</v>
      </c>
      <c r="F124" s="2" t="s">
        <v>0</v>
      </c>
      <c r="G124" s="2"/>
      <c r="H124" s="61"/>
      <c r="I124" s="2"/>
      <c r="J124" s="3">
        <f>Table156781317[[#This Row],[Miktar]]+J123</f>
        <v>57500</v>
      </c>
    </row>
    <row r="125" spans="2:10" ht="17" x14ac:dyDescent="0.2">
      <c r="B125" s="23">
        <v>401210</v>
      </c>
      <c r="C125" s="8"/>
      <c r="D125" s="79">
        <v>44931</v>
      </c>
      <c r="E125" s="7">
        <f>-20125/0.35</f>
        <v>-57500.000000000007</v>
      </c>
      <c r="F125" s="2" t="s">
        <v>23</v>
      </c>
      <c r="G125" s="2" t="s">
        <v>72</v>
      </c>
      <c r="H125" s="61" t="s">
        <v>90</v>
      </c>
      <c r="I125" s="2" t="s">
        <v>12</v>
      </c>
      <c r="J125" s="3">
        <f>Table156781317[[#This Row],[Miktar]]+J124</f>
        <v>0</v>
      </c>
    </row>
    <row r="126" spans="2:10" x14ac:dyDescent="0.2">
      <c r="B126" s="23">
        <v>401220</v>
      </c>
      <c r="C126" s="8">
        <f>Table156781317[[#This Row],[Tarih]]</f>
        <v>44958</v>
      </c>
      <c r="D126" s="79">
        <v>44958</v>
      </c>
      <c r="E126" s="7">
        <v>57500</v>
      </c>
      <c r="F126" s="2" t="s">
        <v>0</v>
      </c>
      <c r="G126" s="2"/>
      <c r="H126" s="61"/>
      <c r="I126" s="2"/>
      <c r="J126" s="3">
        <f>Table156781317[[#This Row],[Miktar]]+J125</f>
        <v>57500</v>
      </c>
    </row>
    <row r="127" spans="2:10" ht="17" x14ac:dyDescent="0.2">
      <c r="B127" s="23">
        <v>401230</v>
      </c>
      <c r="C127" s="8"/>
      <c r="D127" s="79">
        <v>44964</v>
      </c>
      <c r="E127" s="7">
        <f>-20125/0.35</f>
        <v>-57500.000000000007</v>
      </c>
      <c r="F127" s="2" t="s">
        <v>23</v>
      </c>
      <c r="G127" s="2" t="s">
        <v>72</v>
      </c>
      <c r="H127" s="61" t="s">
        <v>90</v>
      </c>
      <c r="I127" s="2" t="s">
        <v>12</v>
      </c>
      <c r="J127" s="3">
        <f>Table156781317[[#This Row],[Miktar]]+J126</f>
        <v>0</v>
      </c>
    </row>
    <row r="128" spans="2:10" x14ac:dyDescent="0.2">
      <c r="B128" s="23">
        <v>401240</v>
      </c>
      <c r="C128" s="8">
        <f>Table156781317[[#This Row],[Tarih]]</f>
        <v>44986</v>
      </c>
      <c r="D128" s="79">
        <v>44986</v>
      </c>
      <c r="E128" s="7">
        <v>57500</v>
      </c>
      <c r="F128" s="2" t="s">
        <v>0</v>
      </c>
      <c r="G128" s="2"/>
      <c r="H128" s="61"/>
      <c r="I128" s="2"/>
      <c r="J128" s="3">
        <f>Table156781317[[#This Row],[Miktar]]+J127</f>
        <v>57500</v>
      </c>
    </row>
    <row r="129" spans="2:12" ht="17" x14ac:dyDescent="0.2">
      <c r="B129" s="23">
        <v>401250</v>
      </c>
      <c r="C129" s="8"/>
      <c r="D129" s="79">
        <v>44991</v>
      </c>
      <c r="E129" s="7">
        <f>-20125/0.35</f>
        <v>-57500.000000000007</v>
      </c>
      <c r="F129" s="2" t="s">
        <v>23</v>
      </c>
      <c r="G129" s="2" t="s">
        <v>72</v>
      </c>
      <c r="H129" s="61" t="s">
        <v>90</v>
      </c>
      <c r="I129" s="2" t="s">
        <v>12</v>
      </c>
      <c r="J129" s="3">
        <f>Table156781317[[#This Row],[Miktar]]+J128</f>
        <v>0</v>
      </c>
    </row>
    <row r="130" spans="2:12" x14ac:dyDescent="0.2">
      <c r="B130" s="23">
        <v>401260</v>
      </c>
      <c r="C130" s="8">
        <f>Table156781317[[#This Row],[Tarih]]</f>
        <v>45017</v>
      </c>
      <c r="D130" s="79">
        <v>45017</v>
      </c>
      <c r="E130" s="7">
        <v>57500</v>
      </c>
      <c r="F130" s="2" t="s">
        <v>0</v>
      </c>
      <c r="G130" s="2"/>
      <c r="H130" s="61"/>
      <c r="I130" s="2"/>
      <c r="J130" s="3">
        <f>Table156781317[[#This Row],[Miktar]]+J129</f>
        <v>57500</v>
      </c>
    </row>
    <row r="131" spans="2:12" ht="18" thickBot="1" x14ac:dyDescent="0.25">
      <c r="B131" s="69">
        <v>401270</v>
      </c>
      <c r="C131" s="33"/>
      <c r="D131" s="82">
        <v>45021</v>
      </c>
      <c r="E131" s="6">
        <f>-20125/0.35</f>
        <v>-57500.000000000007</v>
      </c>
      <c r="F131" s="10" t="s">
        <v>23</v>
      </c>
      <c r="G131" s="10" t="s">
        <v>72</v>
      </c>
      <c r="H131" s="78" t="s">
        <v>90</v>
      </c>
      <c r="I131" s="10" t="s">
        <v>12</v>
      </c>
      <c r="J131" s="66">
        <f>Table156781317[[#This Row],[Miktar]]+J130</f>
        <v>0</v>
      </c>
    </row>
    <row r="132" spans="2:12" ht="17" thickTop="1" x14ac:dyDescent="0.2">
      <c r="B132" s="122">
        <v>401280</v>
      </c>
      <c r="C132" s="8">
        <f>Table156781317[[#This Row],[Tarih]]</f>
        <v>45047</v>
      </c>
      <c r="D132" s="79">
        <v>45047</v>
      </c>
      <c r="E132" s="7">
        <v>96140</v>
      </c>
      <c r="F132" s="2" t="s">
        <v>0</v>
      </c>
      <c r="G132" s="2"/>
      <c r="H132" s="61"/>
      <c r="I132" s="2"/>
      <c r="J132" s="3">
        <f>Table156781317[[#This Row],[Miktar]]+J131</f>
        <v>96140</v>
      </c>
      <c r="L132" s="124"/>
    </row>
    <row r="133" spans="2:12" ht="17" x14ac:dyDescent="0.2">
      <c r="B133" s="12">
        <v>401290</v>
      </c>
      <c r="C133" s="9"/>
      <c r="D133" s="87">
        <v>45061</v>
      </c>
      <c r="E133" s="7">
        <v>-96140</v>
      </c>
      <c r="F133" s="12" t="s">
        <v>23</v>
      </c>
      <c r="G133" s="12" t="s">
        <v>72</v>
      </c>
      <c r="H133" s="20" t="s">
        <v>90</v>
      </c>
      <c r="I133" s="12" t="s">
        <v>12</v>
      </c>
      <c r="J133" s="13">
        <f>Table156781317[[#This Row],[Miktar]]+J132</f>
        <v>0</v>
      </c>
      <c r="L133" s="124"/>
    </row>
    <row r="134" spans="2:12" x14ac:dyDescent="0.2">
      <c r="B134" s="122">
        <v>401300</v>
      </c>
      <c r="C134" s="8">
        <f>Table156781317[[#This Row],[Tarih]]</f>
        <v>45078</v>
      </c>
      <c r="D134" s="79">
        <v>45078</v>
      </c>
      <c r="E134" s="7">
        <f>E132</f>
        <v>96140</v>
      </c>
      <c r="F134" s="2" t="s">
        <v>0</v>
      </c>
      <c r="G134" s="2"/>
      <c r="H134" s="61"/>
      <c r="I134" s="2" t="s">
        <v>12</v>
      </c>
      <c r="J134" s="3">
        <f>Table156781317[[#This Row],[Miktar]]+J133</f>
        <v>96140</v>
      </c>
      <c r="L134" s="123"/>
    </row>
    <row r="135" spans="2:12" ht="17" x14ac:dyDescent="0.2">
      <c r="B135" s="12">
        <v>401310</v>
      </c>
      <c r="C135" s="8"/>
      <c r="D135" s="79">
        <v>45082</v>
      </c>
      <c r="E135" s="7">
        <v>-96140</v>
      </c>
      <c r="F135" s="12" t="s">
        <v>23</v>
      </c>
      <c r="G135" s="12" t="s">
        <v>72</v>
      </c>
      <c r="H135" s="20" t="s">
        <v>90</v>
      </c>
      <c r="I135" s="12" t="s">
        <v>12</v>
      </c>
      <c r="J135" s="13">
        <f>Table156781317[[#This Row],[Miktar]]+J134</f>
        <v>0</v>
      </c>
    </row>
    <row r="136" spans="2:12" x14ac:dyDescent="0.2">
      <c r="B136" s="12">
        <v>401330</v>
      </c>
      <c r="C136" s="8">
        <f>Table156781317[[#This Row],[Tarih]]</f>
        <v>44743</v>
      </c>
      <c r="D136" s="79">
        <v>44743</v>
      </c>
      <c r="E136" s="7">
        <f>E134</f>
        <v>96140</v>
      </c>
      <c r="F136" s="2" t="s">
        <v>0</v>
      </c>
      <c r="G136" s="2"/>
      <c r="H136" s="61"/>
      <c r="I136" s="2" t="s">
        <v>12</v>
      </c>
      <c r="J136" s="13">
        <f>Table156781317[[#This Row],[Miktar]]+J135</f>
        <v>96140</v>
      </c>
    </row>
    <row r="137" spans="2:12" ht="17" x14ac:dyDescent="0.2">
      <c r="B137" s="122">
        <v>401340</v>
      </c>
      <c r="C137" s="8"/>
      <c r="D137" s="79">
        <v>45112</v>
      </c>
      <c r="E137" s="7">
        <v>-96140</v>
      </c>
      <c r="F137" s="12" t="s">
        <v>23</v>
      </c>
      <c r="G137" s="12" t="s">
        <v>72</v>
      </c>
      <c r="H137" s="20" t="s">
        <v>90</v>
      </c>
      <c r="I137" s="12" t="s">
        <v>12</v>
      </c>
      <c r="J137" s="13">
        <f>Table156781317[[#This Row],[Miktar]]+J136</f>
        <v>0</v>
      </c>
    </row>
    <row r="138" spans="2:12" x14ac:dyDescent="0.2">
      <c r="B138" s="12">
        <v>401350</v>
      </c>
      <c r="C138" s="8">
        <f>Table156781317[[#This Row],[Tarih]]</f>
        <v>45139</v>
      </c>
      <c r="D138" s="79">
        <v>45139</v>
      </c>
      <c r="E138" s="7">
        <f>E136</f>
        <v>96140</v>
      </c>
      <c r="F138" s="2" t="s">
        <v>0</v>
      </c>
      <c r="G138" s="2"/>
      <c r="H138" s="61"/>
      <c r="I138" s="2" t="s">
        <v>12</v>
      </c>
      <c r="J138" s="13">
        <f>Table156781317[[#This Row],[Miktar]]+J137</f>
        <v>96140</v>
      </c>
    </row>
    <row r="139" spans="2:12" ht="17" x14ac:dyDescent="0.2">
      <c r="B139" s="122">
        <v>401360</v>
      </c>
      <c r="C139" s="8"/>
      <c r="D139" s="79">
        <v>45145</v>
      </c>
      <c r="E139" s="7">
        <v>-96140</v>
      </c>
      <c r="F139" s="12" t="s">
        <v>23</v>
      </c>
      <c r="G139" s="12" t="s">
        <v>72</v>
      </c>
      <c r="H139" s="20" t="s">
        <v>90</v>
      </c>
      <c r="I139" s="12" t="s">
        <v>12</v>
      </c>
      <c r="J139" s="13">
        <f>Table156781317[[#This Row],[Miktar]]+J138</f>
        <v>0</v>
      </c>
    </row>
    <row r="140" spans="2:12" x14ac:dyDescent="0.2">
      <c r="B140" s="12">
        <v>401370</v>
      </c>
      <c r="C140" s="8">
        <f>Table156781317[[#This Row],[Tarih]]</f>
        <v>45170</v>
      </c>
      <c r="D140" s="79">
        <v>45170</v>
      </c>
      <c r="E140" s="7">
        <f>E138</f>
        <v>96140</v>
      </c>
      <c r="F140" s="2" t="s">
        <v>0</v>
      </c>
      <c r="G140" s="2"/>
      <c r="H140" s="61"/>
      <c r="I140" s="2" t="s">
        <v>12</v>
      </c>
      <c r="J140" s="13">
        <f>Table156781317[[#This Row],[Miktar]]+J139</f>
        <v>96140</v>
      </c>
    </row>
    <row r="141" spans="2:12" ht="17" x14ac:dyDescent="0.2">
      <c r="B141" s="122">
        <v>401380</v>
      </c>
      <c r="C141" s="8"/>
      <c r="D141" s="79">
        <v>45174</v>
      </c>
      <c r="E141" s="7">
        <v>-96140</v>
      </c>
      <c r="F141" s="12" t="s">
        <v>23</v>
      </c>
      <c r="G141" s="12" t="s">
        <v>72</v>
      </c>
      <c r="H141" s="20" t="s">
        <v>90</v>
      </c>
      <c r="I141" s="12" t="s">
        <v>12</v>
      </c>
      <c r="J141" s="13">
        <f>Table156781317[[#This Row],[Miktar]]+J140</f>
        <v>0</v>
      </c>
    </row>
    <row r="142" spans="2:12" x14ac:dyDescent="0.2">
      <c r="B142" s="12">
        <v>401390</v>
      </c>
      <c r="C142" s="8">
        <f>Table156781317[[#This Row],[Tarih]]</f>
        <v>45200</v>
      </c>
      <c r="D142" s="79">
        <v>45200</v>
      </c>
      <c r="E142" s="7">
        <f>E140</f>
        <v>96140</v>
      </c>
      <c r="F142" s="2" t="s">
        <v>0</v>
      </c>
      <c r="G142" s="2"/>
      <c r="H142" s="61"/>
      <c r="I142" s="2"/>
      <c r="J142" s="13">
        <f>Table156781317[[#This Row],[Miktar]]+J141</f>
        <v>96140</v>
      </c>
    </row>
    <row r="143" spans="2:12" ht="17" x14ac:dyDescent="0.2">
      <c r="B143" s="122">
        <v>401400</v>
      </c>
      <c r="C143" s="8"/>
      <c r="D143" s="79">
        <v>45204</v>
      </c>
      <c r="E143" s="7">
        <v>-96140</v>
      </c>
      <c r="F143" s="12" t="s">
        <v>23</v>
      </c>
      <c r="G143" s="12" t="s">
        <v>72</v>
      </c>
      <c r="H143" s="20" t="s">
        <v>90</v>
      </c>
      <c r="I143" s="12" t="s">
        <v>12</v>
      </c>
      <c r="J143" s="13">
        <f>Table156781317[[#This Row],[Miktar]]+J142</f>
        <v>0</v>
      </c>
    </row>
    <row r="144" spans="2:12" x14ac:dyDescent="0.2">
      <c r="B144" s="12">
        <v>401410</v>
      </c>
      <c r="C144" s="8">
        <f>Table156781317[[#This Row],[Tarih]]</f>
        <v>45231</v>
      </c>
      <c r="D144" s="79">
        <v>45231</v>
      </c>
      <c r="E144" s="7">
        <f>E142</f>
        <v>96140</v>
      </c>
      <c r="F144" s="2" t="s">
        <v>0</v>
      </c>
      <c r="G144" s="2"/>
      <c r="H144" s="61"/>
      <c r="I144" s="2"/>
      <c r="J144" s="13">
        <f>Table156781317[[#This Row],[Miktar]]+J143</f>
        <v>96140</v>
      </c>
    </row>
    <row r="145" spans="2:10" ht="17" x14ac:dyDescent="0.2">
      <c r="B145" s="122">
        <v>401420</v>
      </c>
      <c r="C145" s="8"/>
      <c r="D145" s="79">
        <v>45236</v>
      </c>
      <c r="E145" s="7">
        <v>-96140</v>
      </c>
      <c r="F145" s="12" t="s">
        <v>23</v>
      </c>
      <c r="G145" s="12" t="s">
        <v>72</v>
      </c>
      <c r="H145" s="20" t="s">
        <v>90</v>
      </c>
      <c r="I145" s="12" t="s">
        <v>12</v>
      </c>
      <c r="J145" s="13">
        <f>Table156781317[[#This Row],[Miktar]]+J144</f>
        <v>0</v>
      </c>
    </row>
    <row r="146" spans="2:10" x14ac:dyDescent="0.2">
      <c r="B146" s="12">
        <v>401430</v>
      </c>
      <c r="C146" s="8">
        <f>Table156781317[[#This Row],[Tarih]]</f>
        <v>45261</v>
      </c>
      <c r="D146" s="79">
        <v>45261</v>
      </c>
      <c r="E146" s="7">
        <f>E144</f>
        <v>96140</v>
      </c>
      <c r="F146" s="2" t="s">
        <v>0</v>
      </c>
      <c r="G146" s="2"/>
      <c r="H146" s="61"/>
      <c r="I146" s="2"/>
      <c r="J146" s="13">
        <f>Table156781317[[#This Row],[Miktar]]+J145</f>
        <v>96140</v>
      </c>
    </row>
    <row r="147" spans="2:10" ht="17" x14ac:dyDescent="0.2">
      <c r="B147" s="122">
        <v>401440</v>
      </c>
      <c r="C147" s="8"/>
      <c r="D147" s="79">
        <v>45265</v>
      </c>
      <c r="E147" s="7">
        <f>-33649/0.35</f>
        <v>-96140</v>
      </c>
      <c r="F147" s="2" t="s">
        <v>23</v>
      </c>
      <c r="G147" s="2" t="s">
        <v>72</v>
      </c>
      <c r="H147" s="61" t="s">
        <v>90</v>
      </c>
      <c r="I147" s="2" t="s">
        <v>12</v>
      </c>
      <c r="J147" s="13">
        <f>Table156781317[[#This Row],[Miktar]]+J146</f>
        <v>0</v>
      </c>
    </row>
    <row r="148" spans="2:10" x14ac:dyDescent="0.2">
      <c r="B148" s="12">
        <v>401450</v>
      </c>
      <c r="C148" s="8">
        <f>Table156781317[[#This Row],[Tarih]]</f>
        <v>45292</v>
      </c>
      <c r="D148" s="79">
        <v>45292</v>
      </c>
      <c r="E148" s="7">
        <f>E146</f>
        <v>96140</v>
      </c>
      <c r="F148" s="2" t="s">
        <v>0</v>
      </c>
      <c r="G148" s="2"/>
      <c r="H148" s="61"/>
      <c r="I148" s="2"/>
      <c r="J148" s="13">
        <f>Table156781317[[#This Row],[Miktar]]+J147</f>
        <v>96140</v>
      </c>
    </row>
    <row r="149" spans="2:10" ht="17" x14ac:dyDescent="0.2">
      <c r="B149" s="122">
        <v>401460</v>
      </c>
      <c r="C149" s="8"/>
      <c r="D149" s="79">
        <v>45296</v>
      </c>
      <c r="E149" s="7">
        <f>-33649/0.35</f>
        <v>-96140</v>
      </c>
      <c r="F149" s="2" t="s">
        <v>23</v>
      </c>
      <c r="G149" s="2" t="s">
        <v>72</v>
      </c>
      <c r="H149" s="61" t="s">
        <v>90</v>
      </c>
      <c r="I149" s="2" t="s">
        <v>12</v>
      </c>
      <c r="J149" s="13">
        <f>Table156781317[[#This Row],[Miktar]]+J148</f>
        <v>0</v>
      </c>
    </row>
    <row r="150" spans="2:10" x14ac:dyDescent="0.2">
      <c r="B150" s="12">
        <v>401470</v>
      </c>
      <c r="C150" s="8">
        <f>Table156781317[[#This Row],[Tarih]]</f>
        <v>45323</v>
      </c>
      <c r="D150" s="79">
        <v>45323</v>
      </c>
      <c r="E150" s="7">
        <f>E148</f>
        <v>96140</v>
      </c>
      <c r="F150" s="2" t="s">
        <v>0</v>
      </c>
      <c r="G150" s="2"/>
      <c r="H150" s="61"/>
      <c r="I150" s="2"/>
      <c r="J150" s="13">
        <f>Table156781317[[#This Row],[Miktar]]+J149</f>
        <v>96140</v>
      </c>
    </row>
    <row r="151" spans="2:10" ht="17" x14ac:dyDescent="0.2">
      <c r="B151" s="122">
        <v>401480</v>
      </c>
      <c r="C151" s="8"/>
      <c r="D151" s="79">
        <v>45327</v>
      </c>
      <c r="E151" s="7">
        <f>-33649/0.35</f>
        <v>-96140</v>
      </c>
      <c r="F151" s="2" t="s">
        <v>23</v>
      </c>
      <c r="G151" s="2" t="s">
        <v>72</v>
      </c>
      <c r="H151" s="61" t="s">
        <v>90</v>
      </c>
      <c r="I151" s="2" t="s">
        <v>12</v>
      </c>
      <c r="J151" s="13">
        <f>Table156781317[[#This Row],[Miktar]]+J150</f>
        <v>0</v>
      </c>
    </row>
    <row r="152" spans="2:10" x14ac:dyDescent="0.2">
      <c r="B152" s="12">
        <v>401490</v>
      </c>
      <c r="C152" s="8">
        <f>Table156781317[[#This Row],[Tarih]]</f>
        <v>45352</v>
      </c>
      <c r="D152" s="79">
        <v>45352</v>
      </c>
      <c r="E152" s="7">
        <f>E150</f>
        <v>96140</v>
      </c>
      <c r="F152" s="2" t="s">
        <v>0</v>
      </c>
      <c r="G152" s="2"/>
      <c r="H152" s="61"/>
      <c r="I152" s="2"/>
      <c r="J152" s="13">
        <f>Table156781317[[#This Row],[Miktar]]+J151</f>
        <v>96140</v>
      </c>
    </row>
    <row r="153" spans="2:10" ht="17" x14ac:dyDescent="0.2">
      <c r="B153" s="122">
        <v>401500</v>
      </c>
      <c r="C153" s="8"/>
      <c r="D153" s="79">
        <v>45356</v>
      </c>
      <c r="E153" s="7">
        <f>-33649/0.35</f>
        <v>-96140</v>
      </c>
      <c r="F153" s="2" t="s">
        <v>23</v>
      </c>
      <c r="G153" s="2" t="s">
        <v>72</v>
      </c>
      <c r="H153" s="61" t="s">
        <v>90</v>
      </c>
      <c r="I153" s="2" t="s">
        <v>12</v>
      </c>
      <c r="J153" s="13">
        <f>Table156781317[[#This Row],[Miktar]]+J152</f>
        <v>0</v>
      </c>
    </row>
    <row r="154" spans="2:10" x14ac:dyDescent="0.2">
      <c r="B154" s="12">
        <v>401510</v>
      </c>
      <c r="C154" s="8">
        <f>Table156781317[[#This Row],[Tarih]]</f>
        <v>45383</v>
      </c>
      <c r="D154" s="79">
        <v>45383</v>
      </c>
      <c r="E154" s="7">
        <f>E152</f>
        <v>96140</v>
      </c>
      <c r="F154" s="2" t="s">
        <v>0</v>
      </c>
      <c r="G154" s="2"/>
      <c r="H154" s="61"/>
      <c r="I154" s="2"/>
      <c r="J154" s="13">
        <f>Table156781317[[#This Row],[Miktar]]+J153</f>
        <v>96140</v>
      </c>
    </row>
    <row r="155" spans="2:10" ht="17" x14ac:dyDescent="0.2">
      <c r="B155" s="122">
        <v>401520</v>
      </c>
      <c r="C155" s="9"/>
      <c r="D155" s="87">
        <v>45387</v>
      </c>
      <c r="E155" s="7">
        <f>-33649/0.35</f>
        <v>-96140</v>
      </c>
      <c r="F155" s="2" t="s">
        <v>23</v>
      </c>
      <c r="G155" s="2" t="s">
        <v>72</v>
      </c>
      <c r="H155" s="61" t="s">
        <v>90</v>
      </c>
      <c r="I155" s="2" t="s">
        <v>12</v>
      </c>
      <c r="J155" s="13">
        <f>Table156781317[[#This Row],[Miktar]]+J154</f>
        <v>0</v>
      </c>
    </row>
    <row r="156" spans="2:10" x14ac:dyDescent="0.2">
      <c r="B156" s="12">
        <v>401530</v>
      </c>
      <c r="C156" s="8">
        <f>Table156781317[[#This Row],[Tarih]]</f>
        <v>45413</v>
      </c>
      <c r="D156" s="79">
        <v>45413</v>
      </c>
      <c r="E156" s="7">
        <f>153478</f>
        <v>153478</v>
      </c>
      <c r="F156" s="2" t="s">
        <v>216</v>
      </c>
      <c r="G156" s="2"/>
      <c r="H156" s="61"/>
      <c r="I156" s="2"/>
      <c r="J156" s="13">
        <f>Table156781317[[#This Row],[Miktar]]+J155</f>
        <v>153478</v>
      </c>
    </row>
    <row r="157" spans="2:10" ht="17" x14ac:dyDescent="0.2">
      <c r="B157" s="122">
        <v>401540</v>
      </c>
      <c r="C157" s="2"/>
      <c r="D157" s="79">
        <v>45418</v>
      </c>
      <c r="E157" s="7">
        <f>-53717.3/0.35</f>
        <v>-153478.00000000003</v>
      </c>
      <c r="F157" s="2" t="s">
        <v>23</v>
      </c>
      <c r="G157" s="2" t="s">
        <v>72</v>
      </c>
      <c r="H157" s="61" t="s">
        <v>90</v>
      </c>
      <c r="I157" s="2" t="s">
        <v>12</v>
      </c>
      <c r="J157" s="13">
        <f>Table156781317[[#This Row],[Miktar]]+J156</f>
        <v>0</v>
      </c>
    </row>
    <row r="158" spans="2:10" x14ac:dyDescent="0.2">
      <c r="B158" s="12">
        <v>401550</v>
      </c>
      <c r="C158" s="8">
        <f>Table156781317[[#This Row],[Tarih]]</f>
        <v>45444</v>
      </c>
      <c r="D158" s="79">
        <v>45444</v>
      </c>
      <c r="E158" s="7">
        <f>E156</f>
        <v>153478</v>
      </c>
      <c r="F158" s="2" t="s">
        <v>0</v>
      </c>
      <c r="G158" s="2"/>
      <c r="H158" s="61"/>
      <c r="I158" s="2"/>
      <c r="J158" s="13">
        <f>Table156781317[[#This Row],[Miktar]]+J157</f>
        <v>153478</v>
      </c>
    </row>
    <row r="159" spans="2:10" ht="17" x14ac:dyDescent="0.2">
      <c r="B159" s="122">
        <v>401560</v>
      </c>
      <c r="C159" s="2"/>
      <c r="D159" s="79">
        <v>45448</v>
      </c>
      <c r="E159" s="7">
        <f>-53717.3/0.35</f>
        <v>-153478.00000000003</v>
      </c>
      <c r="F159" s="2" t="s">
        <v>23</v>
      </c>
      <c r="G159" s="2" t="s">
        <v>72</v>
      </c>
      <c r="H159" s="61" t="s">
        <v>90</v>
      </c>
      <c r="I159" s="2" t="s">
        <v>12</v>
      </c>
      <c r="J159" s="13">
        <f>Table156781317[[#This Row],[Miktar]]+J158</f>
        <v>0</v>
      </c>
    </row>
    <row r="160" spans="2:10" x14ac:dyDescent="0.2">
      <c r="B160" s="12">
        <v>401570</v>
      </c>
      <c r="C160" s="8">
        <f>Table156781317[[#This Row],[Tarih]]</f>
        <v>45474</v>
      </c>
      <c r="D160" s="79">
        <v>45474</v>
      </c>
      <c r="E160" s="7">
        <f>E158</f>
        <v>153478</v>
      </c>
      <c r="F160" s="2" t="s">
        <v>0</v>
      </c>
      <c r="G160" s="2"/>
      <c r="H160" s="61"/>
      <c r="I160" s="2"/>
      <c r="J160" s="13">
        <f>Table156781317[[#This Row],[Miktar]]+J159</f>
        <v>153478</v>
      </c>
    </row>
    <row r="161" spans="2:10" ht="17" x14ac:dyDescent="0.2">
      <c r="B161" s="122">
        <v>401580</v>
      </c>
      <c r="C161" s="2"/>
      <c r="D161" s="79">
        <v>45478</v>
      </c>
      <c r="E161" s="7">
        <f>-53717.3/0.35</f>
        <v>-153478.00000000003</v>
      </c>
      <c r="F161" s="2" t="s">
        <v>23</v>
      </c>
      <c r="G161" s="2" t="s">
        <v>72</v>
      </c>
      <c r="H161" s="61" t="s">
        <v>90</v>
      </c>
      <c r="I161" s="2" t="s">
        <v>12</v>
      </c>
      <c r="J161" s="13">
        <f>Table156781317[[#This Row],[Miktar]]+J160</f>
        <v>0</v>
      </c>
    </row>
    <row r="162" spans="2:10" x14ac:dyDescent="0.2">
      <c r="B162" s="12">
        <v>401590</v>
      </c>
      <c r="C162" s="8">
        <f>Table156781317[[#This Row],[Tarih]]</f>
        <v>45505</v>
      </c>
      <c r="D162" s="79">
        <v>45505</v>
      </c>
      <c r="E162" s="7">
        <f>E160</f>
        <v>153478</v>
      </c>
      <c r="F162" s="2" t="s">
        <v>0</v>
      </c>
      <c r="G162" s="2"/>
      <c r="H162" s="61"/>
      <c r="I162" s="2"/>
      <c r="J162" s="13">
        <f>Table156781317[[#This Row],[Miktar]]+J161</f>
        <v>153478</v>
      </c>
    </row>
    <row r="163" spans="2:10" ht="17" x14ac:dyDescent="0.2">
      <c r="B163" s="122">
        <v>401600</v>
      </c>
      <c r="C163" s="2"/>
      <c r="D163" s="79">
        <v>45509</v>
      </c>
      <c r="E163" s="7">
        <f>-53717.3/0.35</f>
        <v>-153478.00000000003</v>
      </c>
      <c r="F163" s="2" t="s">
        <v>23</v>
      </c>
      <c r="G163" s="2" t="s">
        <v>72</v>
      </c>
      <c r="H163" s="61" t="s">
        <v>90</v>
      </c>
      <c r="I163" s="2" t="s">
        <v>12</v>
      </c>
      <c r="J163" s="13">
        <f>Table156781317[[#This Row],[Miktar]]+J162</f>
        <v>0</v>
      </c>
    </row>
    <row r="164" spans="2:10" x14ac:dyDescent="0.2">
      <c r="B164" s="12">
        <v>401610</v>
      </c>
      <c r="C164" s="8">
        <f>Table156781317[[#This Row],[Tarih]]</f>
        <v>45536</v>
      </c>
      <c r="D164" s="79">
        <v>45536</v>
      </c>
      <c r="E164" s="7">
        <f>E162</f>
        <v>153478</v>
      </c>
      <c r="F164" s="2" t="s">
        <v>0</v>
      </c>
      <c r="G164" s="2"/>
      <c r="H164" s="61"/>
      <c r="I164" s="2"/>
      <c r="J164" s="13">
        <f>Table156781317[[#This Row],[Miktar]]+J163</f>
        <v>153478</v>
      </c>
    </row>
    <row r="165" spans="2:10" ht="17" x14ac:dyDescent="0.2">
      <c r="B165" s="122">
        <v>401620</v>
      </c>
      <c r="C165" s="2"/>
      <c r="D165" s="79">
        <v>45540</v>
      </c>
      <c r="E165" s="7">
        <f>-53717.3/0.35</f>
        <v>-153478.00000000003</v>
      </c>
      <c r="F165" s="2" t="s">
        <v>23</v>
      </c>
      <c r="G165" s="2" t="s">
        <v>72</v>
      </c>
      <c r="H165" s="61" t="s">
        <v>90</v>
      </c>
      <c r="I165" s="2" t="s">
        <v>12</v>
      </c>
      <c r="J165" s="13">
        <f>Table156781317[[#This Row],[Miktar]]+J164</f>
        <v>0</v>
      </c>
    </row>
    <row r="166" spans="2:10" x14ac:dyDescent="0.2">
      <c r="B166" s="12">
        <v>401630</v>
      </c>
      <c r="C166" s="8">
        <f>Table156781317[[#This Row],[Tarih]]</f>
        <v>45566</v>
      </c>
      <c r="D166" s="79">
        <v>45566</v>
      </c>
      <c r="E166" s="7">
        <f>E164</f>
        <v>153478</v>
      </c>
      <c r="F166" s="2" t="s">
        <v>0</v>
      </c>
      <c r="G166" s="2"/>
      <c r="H166" s="61"/>
      <c r="I166" s="2"/>
      <c r="J166" s="13">
        <f>Table156781317[[#This Row],[Miktar]]+J165</f>
        <v>153478</v>
      </c>
    </row>
    <row r="167" spans="2:10" ht="17" x14ac:dyDescent="0.2">
      <c r="B167" s="122">
        <v>401640</v>
      </c>
      <c r="C167" s="2"/>
      <c r="D167" s="79">
        <v>45572</v>
      </c>
      <c r="E167" s="7">
        <f>-53717.3/0.35</f>
        <v>-153478.00000000003</v>
      </c>
      <c r="F167" s="2" t="s">
        <v>23</v>
      </c>
      <c r="G167" s="2" t="s">
        <v>72</v>
      </c>
      <c r="H167" s="61" t="s">
        <v>90</v>
      </c>
      <c r="I167" s="2" t="s">
        <v>12</v>
      </c>
      <c r="J167" s="13">
        <f>Table156781317[[#This Row],[Miktar]]+J166</f>
        <v>0</v>
      </c>
    </row>
    <row r="168" spans="2:10" x14ac:dyDescent="0.2">
      <c r="B168" s="12">
        <v>401650</v>
      </c>
      <c r="C168" s="8">
        <f>Table156781317[[#This Row],[Tarih]]</f>
        <v>45597</v>
      </c>
      <c r="D168" s="79">
        <v>45597</v>
      </c>
      <c r="E168" s="7">
        <f>E166</f>
        <v>153478</v>
      </c>
      <c r="F168" s="2" t="s">
        <v>0</v>
      </c>
      <c r="G168" s="2"/>
      <c r="H168" s="61"/>
      <c r="I168" s="2"/>
      <c r="J168" s="13">
        <f>Table156781317[[#This Row],[Miktar]]+J167</f>
        <v>153478</v>
      </c>
    </row>
    <row r="169" spans="2:10" ht="17" x14ac:dyDescent="0.2">
      <c r="B169" s="122">
        <v>401660</v>
      </c>
      <c r="C169" s="2"/>
      <c r="D169" s="79">
        <v>45601</v>
      </c>
      <c r="E169" s="7">
        <f>-53717.3/0.35</f>
        <v>-153478.00000000003</v>
      </c>
      <c r="F169" s="2" t="s">
        <v>23</v>
      </c>
      <c r="G169" s="2" t="s">
        <v>72</v>
      </c>
      <c r="H169" s="61" t="s">
        <v>90</v>
      </c>
      <c r="I169" s="2" t="s">
        <v>12</v>
      </c>
      <c r="J169" s="13">
        <f>Table156781317[[#This Row],[Miktar]]+J168</f>
        <v>0</v>
      </c>
    </row>
    <row r="170" spans="2:10" x14ac:dyDescent="0.2">
      <c r="B170" s="12">
        <v>401670</v>
      </c>
      <c r="C170" s="8">
        <f>Table156781317[[#This Row],[Tarih]]</f>
        <v>45627</v>
      </c>
      <c r="D170" s="79">
        <v>45627</v>
      </c>
      <c r="E170" s="7">
        <f>E168</f>
        <v>153478</v>
      </c>
      <c r="F170" s="2" t="s">
        <v>0</v>
      </c>
      <c r="G170" s="2"/>
      <c r="H170" s="61"/>
      <c r="I170" s="2"/>
      <c r="J170" s="13">
        <f>Table156781317[[#This Row],[Miktar]]+J169</f>
        <v>153478</v>
      </c>
    </row>
    <row r="171" spans="2:10" ht="17" x14ac:dyDescent="0.2">
      <c r="B171" s="122">
        <v>401680</v>
      </c>
      <c r="C171" s="2"/>
      <c r="D171" s="79">
        <v>45631</v>
      </c>
      <c r="E171" s="7">
        <f>-53717.3/0.35</f>
        <v>-153478.00000000003</v>
      </c>
      <c r="F171" s="2" t="s">
        <v>23</v>
      </c>
      <c r="G171" s="2" t="s">
        <v>72</v>
      </c>
      <c r="H171" s="61" t="s">
        <v>90</v>
      </c>
      <c r="I171" s="2" t="s">
        <v>12</v>
      </c>
      <c r="J171" s="13">
        <f>Table156781317[[#This Row],[Miktar]]+J170</f>
        <v>0</v>
      </c>
    </row>
    <row r="172" spans="2:10" x14ac:dyDescent="0.2">
      <c r="B172" s="12">
        <v>401690</v>
      </c>
      <c r="C172" s="8">
        <f>Table156781317[[#This Row],[Tarih]]</f>
        <v>45658</v>
      </c>
      <c r="D172" s="79">
        <v>45658</v>
      </c>
      <c r="E172" s="7">
        <f>E170</f>
        <v>153478</v>
      </c>
      <c r="F172" s="2" t="s">
        <v>0</v>
      </c>
      <c r="G172" s="2"/>
      <c r="H172" s="61"/>
      <c r="I172" s="2"/>
      <c r="J172" s="13">
        <f>Table156781317[[#This Row],[Miktar]]+J171</f>
        <v>153478</v>
      </c>
    </row>
    <row r="173" spans="2:10" ht="17" x14ac:dyDescent="0.2">
      <c r="B173" s="122">
        <v>401700</v>
      </c>
      <c r="C173" s="2"/>
      <c r="D173" s="79">
        <v>45664</v>
      </c>
      <c r="E173" s="7">
        <f>-53717.3/0.35</f>
        <v>-153478.00000000003</v>
      </c>
      <c r="F173" s="2" t="s">
        <v>23</v>
      </c>
      <c r="G173" s="2" t="s">
        <v>72</v>
      </c>
      <c r="H173" s="61" t="s">
        <v>90</v>
      </c>
      <c r="I173" s="2" t="s">
        <v>12</v>
      </c>
      <c r="J173" s="13">
        <f>Table156781317[[#This Row],[Miktar]]+J172</f>
        <v>0</v>
      </c>
    </row>
    <row r="174" spans="2:10" x14ac:dyDescent="0.2">
      <c r="B174" s="12">
        <v>401710</v>
      </c>
      <c r="C174" s="8">
        <f>Table156781317[[#This Row],[Tarih]]</f>
        <v>45689</v>
      </c>
      <c r="D174" s="79">
        <v>45689</v>
      </c>
      <c r="E174" s="7">
        <f>E172</f>
        <v>153478</v>
      </c>
      <c r="F174" s="2" t="s">
        <v>0</v>
      </c>
      <c r="G174" s="2"/>
      <c r="H174" s="61"/>
      <c r="I174" s="2"/>
      <c r="J174" s="13">
        <f>Table156781317[[#This Row],[Miktar]]+J173</f>
        <v>153478</v>
      </c>
    </row>
    <row r="175" spans="2:10" ht="17" x14ac:dyDescent="0.2">
      <c r="B175" s="122">
        <v>401720</v>
      </c>
      <c r="C175" s="2"/>
      <c r="D175" s="79">
        <v>45327</v>
      </c>
      <c r="E175" s="7">
        <f>-53717.3/0.35</f>
        <v>-153478.00000000003</v>
      </c>
      <c r="F175" s="2" t="s">
        <v>23</v>
      </c>
      <c r="G175" s="2" t="s">
        <v>72</v>
      </c>
      <c r="H175" s="61" t="s">
        <v>90</v>
      </c>
      <c r="I175" s="2" t="s">
        <v>12</v>
      </c>
      <c r="J175" s="13">
        <f>Table156781317[[#This Row],[Miktar]]+J174</f>
        <v>0</v>
      </c>
    </row>
    <row r="176" spans="2:10" x14ac:dyDescent="0.2">
      <c r="B176" s="12">
        <v>401730</v>
      </c>
      <c r="C176" s="8">
        <f>Table156781317[[#This Row],[Tarih]]</f>
        <v>45717</v>
      </c>
      <c r="D176" s="79">
        <v>45717</v>
      </c>
      <c r="E176" s="7">
        <f>E174</f>
        <v>153478</v>
      </c>
      <c r="F176" s="2" t="s">
        <v>0</v>
      </c>
      <c r="G176" s="2"/>
      <c r="H176" s="61"/>
      <c r="I176" s="2"/>
      <c r="J176" s="13">
        <f>Table156781317[[#This Row],[Miktar]]+J175</f>
        <v>153478</v>
      </c>
    </row>
    <row r="177" spans="2:10" ht="17" x14ac:dyDescent="0.2">
      <c r="B177" s="122">
        <v>401740</v>
      </c>
      <c r="C177" s="2"/>
      <c r="D177" s="79">
        <v>45356</v>
      </c>
      <c r="E177" s="7">
        <f>-53717.3/0.35</f>
        <v>-153478.00000000003</v>
      </c>
      <c r="F177" s="2" t="s">
        <v>23</v>
      </c>
      <c r="G177" s="2" t="s">
        <v>72</v>
      </c>
      <c r="H177" s="61" t="s">
        <v>90</v>
      </c>
      <c r="I177" s="2" t="s">
        <v>12</v>
      </c>
      <c r="J177" s="13">
        <f>Table156781317[[#This Row],[Miktar]]+J176</f>
        <v>0</v>
      </c>
    </row>
    <row r="178" spans="2:10" x14ac:dyDescent="0.2">
      <c r="B178" s="12">
        <v>401750</v>
      </c>
      <c r="C178" s="9">
        <f>Table156781317[[#This Row],[Tarih]]</f>
        <v>45748</v>
      </c>
      <c r="D178" s="87">
        <v>45748</v>
      </c>
      <c r="E178" s="7">
        <f>E176</f>
        <v>153478</v>
      </c>
      <c r="F178" s="2" t="s">
        <v>0</v>
      </c>
      <c r="G178" s="12"/>
      <c r="H178" s="61"/>
      <c r="I178" s="12"/>
      <c r="J178" s="13">
        <f>Table156781317[[#This Row],[Miktar]]+J177</f>
        <v>153478</v>
      </c>
    </row>
    <row r="179" spans="2:10" ht="18" thickBot="1" x14ac:dyDescent="0.25">
      <c r="B179" s="298">
        <v>401760</v>
      </c>
      <c r="C179" s="10"/>
      <c r="D179" s="82">
        <v>45754</v>
      </c>
      <c r="E179" s="6">
        <f>-53717.3/0.35</f>
        <v>-153478.00000000003</v>
      </c>
      <c r="F179" s="10" t="s">
        <v>23</v>
      </c>
      <c r="G179" s="10" t="s">
        <v>72</v>
      </c>
      <c r="H179" s="78" t="s">
        <v>90</v>
      </c>
      <c r="I179" s="10" t="s">
        <v>12</v>
      </c>
      <c r="J179" s="66">
        <f>Table156781317[[#This Row],[Miktar]]+J178</f>
        <v>0</v>
      </c>
    </row>
    <row r="180" spans="2:10" ht="17" thickTop="1" x14ac:dyDescent="0.2">
      <c r="B180" s="12">
        <v>401770</v>
      </c>
      <c r="C180" s="8">
        <f>Table156781317[[#This Row],[Tarih]]</f>
        <v>45778</v>
      </c>
      <c r="D180" s="79">
        <v>45778</v>
      </c>
      <c r="E180" s="7">
        <f>79893.8/0.35</f>
        <v>228268.00000000003</v>
      </c>
      <c r="F180" s="2" t="s">
        <v>0</v>
      </c>
      <c r="G180" s="2"/>
      <c r="H180" s="61"/>
      <c r="I180" s="2"/>
      <c r="J180" s="3">
        <f>Table156781317[[#This Row],[Miktar]]+J179</f>
        <v>228268.00000000003</v>
      </c>
    </row>
    <row r="181" spans="2:10" ht="17" x14ac:dyDescent="0.2">
      <c r="B181" s="122">
        <v>401780</v>
      </c>
      <c r="C181" s="2"/>
      <c r="D181" s="79">
        <v>45782</v>
      </c>
      <c r="E181" s="7">
        <f>-79893.8/0.35</f>
        <v>-228268.00000000003</v>
      </c>
      <c r="F181" s="2" t="s">
        <v>23</v>
      </c>
      <c r="G181" s="2" t="s">
        <v>72</v>
      </c>
      <c r="H181" s="61" t="s">
        <v>90</v>
      </c>
      <c r="I181" s="2" t="s">
        <v>12</v>
      </c>
      <c r="J181" s="13">
        <f>Table156781317[[#This Row],[Miktar]]+J180</f>
        <v>0</v>
      </c>
    </row>
    <row r="182" spans="2:10" x14ac:dyDescent="0.2">
      <c r="B182" s="12">
        <v>401790</v>
      </c>
      <c r="C182" s="8">
        <f>Table156781317[[#This Row],[Tarih]]</f>
        <v>45809</v>
      </c>
      <c r="D182" s="79">
        <v>45809</v>
      </c>
      <c r="E182" s="7">
        <f>79893.8/0.35</f>
        <v>228268.00000000003</v>
      </c>
      <c r="F182" s="2" t="s">
        <v>0</v>
      </c>
      <c r="G182" s="2"/>
      <c r="H182" s="61"/>
      <c r="I182" s="2"/>
      <c r="J182" s="3">
        <f>Table156781317[[#This Row],[Miktar]]+J181</f>
        <v>228268.00000000003</v>
      </c>
    </row>
    <row r="183" spans="2:10" ht="17" x14ac:dyDescent="0.2">
      <c r="B183" s="122">
        <v>401800</v>
      </c>
      <c r="C183" s="2"/>
      <c r="D183" s="79">
        <v>45812</v>
      </c>
      <c r="E183" s="7">
        <f>-79893.8/0.35</f>
        <v>-228268.00000000003</v>
      </c>
      <c r="F183" s="2" t="s">
        <v>23</v>
      </c>
      <c r="G183" s="2" t="s">
        <v>72</v>
      </c>
      <c r="H183" s="61" t="s">
        <v>90</v>
      </c>
      <c r="I183" s="2" t="s">
        <v>12</v>
      </c>
      <c r="J183" s="13">
        <f>Table156781317[[#This Row],[Miktar]]+J182</f>
        <v>0</v>
      </c>
    </row>
    <row r="184" spans="2:10" x14ac:dyDescent="0.2">
      <c r="B184" s="12">
        <v>401810</v>
      </c>
      <c r="C184" s="8">
        <f>Table156781317[[#This Row],[Tarih]]</f>
        <v>45839</v>
      </c>
      <c r="D184" s="79">
        <v>45839</v>
      </c>
      <c r="E184" s="7">
        <f>79893.8/0.35</f>
        <v>228268.00000000003</v>
      </c>
      <c r="F184" s="2" t="s">
        <v>0</v>
      </c>
      <c r="G184" s="2"/>
      <c r="H184" s="61"/>
      <c r="I184" s="2"/>
      <c r="J184" s="3">
        <f>Table156781317[[#This Row],[Miktar]]+J183</f>
        <v>228268.00000000003</v>
      </c>
    </row>
    <row r="185" spans="2:10" ht="17" x14ac:dyDescent="0.2">
      <c r="B185" s="122">
        <v>401820</v>
      </c>
      <c r="C185" s="2"/>
      <c r="D185" s="79">
        <v>45845</v>
      </c>
      <c r="E185" s="7">
        <f>-79893.8/0.35</f>
        <v>-228268.00000000003</v>
      </c>
      <c r="F185" s="2" t="s">
        <v>23</v>
      </c>
      <c r="G185" s="2" t="s">
        <v>72</v>
      </c>
      <c r="H185" s="61" t="s">
        <v>90</v>
      </c>
      <c r="I185" s="2" t="s">
        <v>12</v>
      </c>
      <c r="J185" s="3">
        <f>Table156781317[[#This Row],[Miktar]]+J184</f>
        <v>0</v>
      </c>
    </row>
    <row r="186" spans="2:10" x14ac:dyDescent="0.2">
      <c r="B186" s="12">
        <v>401830</v>
      </c>
      <c r="C186" s="8">
        <f>Table156781317[[#This Row],[Tarih]]</f>
        <v>45870</v>
      </c>
      <c r="D186" s="79">
        <v>45870</v>
      </c>
      <c r="E186" s="7">
        <f>79893.8/0.35</f>
        <v>228268.00000000003</v>
      </c>
      <c r="F186" s="2" t="s">
        <v>0</v>
      </c>
      <c r="G186" s="2"/>
      <c r="H186" s="61"/>
      <c r="I186" s="2"/>
      <c r="J186" s="3">
        <f>Table156781317[[#This Row],[Miktar]]+J185</f>
        <v>228268.00000000003</v>
      </c>
    </row>
    <row r="187" spans="2:10" ht="17" x14ac:dyDescent="0.2">
      <c r="B187" s="122">
        <v>401840</v>
      </c>
      <c r="C187" s="2"/>
      <c r="D187" s="79">
        <v>45874</v>
      </c>
      <c r="E187" s="7">
        <f>-79893.8/0.35</f>
        <v>-228268.00000000003</v>
      </c>
      <c r="F187" s="2" t="s">
        <v>23</v>
      </c>
      <c r="G187" s="2" t="s">
        <v>72</v>
      </c>
      <c r="H187" s="61" t="s">
        <v>90</v>
      </c>
      <c r="I187" s="2" t="s">
        <v>12</v>
      </c>
      <c r="J187" s="3">
        <f>Table156781317[[#This Row],[Miktar]]+J186</f>
        <v>0</v>
      </c>
    </row>
    <row r="188" spans="2:10" x14ac:dyDescent="0.2">
      <c r="B188" s="12">
        <v>401850</v>
      </c>
      <c r="C188" s="8">
        <f>Table156781317[[#This Row],[Tarih]]</f>
        <v>45901</v>
      </c>
      <c r="D188" s="79">
        <v>45901</v>
      </c>
      <c r="E188" s="7">
        <f>79893.8/0.35</f>
        <v>228268.00000000003</v>
      </c>
      <c r="F188" s="2" t="s">
        <v>0</v>
      </c>
      <c r="G188" s="2"/>
      <c r="H188" s="61"/>
      <c r="I188" s="2"/>
      <c r="J188" s="3">
        <f>Table156781317[[#This Row],[Miktar]]+J187</f>
        <v>228268.00000000003</v>
      </c>
    </row>
    <row r="189" spans="2:10" ht="17" x14ac:dyDescent="0.2">
      <c r="B189" s="122">
        <v>401860</v>
      </c>
      <c r="C189" s="2"/>
      <c r="D189" s="79">
        <v>45905</v>
      </c>
      <c r="E189" s="7">
        <f>-79893.8/0.35</f>
        <v>-228268.00000000003</v>
      </c>
      <c r="F189" s="2" t="s">
        <v>23</v>
      </c>
      <c r="G189" s="2" t="s">
        <v>72</v>
      </c>
      <c r="H189" s="61" t="s">
        <v>90</v>
      </c>
      <c r="I189" s="2" t="s">
        <v>12</v>
      </c>
      <c r="J189" s="3">
        <f>Table156781317[[#This Row],[Miktar]]+J188</f>
        <v>0</v>
      </c>
    </row>
    <row r="190" spans="2:10" x14ac:dyDescent="0.2">
      <c r="B190" s="12">
        <v>401870</v>
      </c>
      <c r="C190" s="8">
        <f>Table156781317[[#This Row],[Tarih]]</f>
        <v>45931</v>
      </c>
      <c r="D190" s="79">
        <v>45931</v>
      </c>
      <c r="E190" s="7">
        <f>79893.8/0.35</f>
        <v>228268.00000000003</v>
      </c>
      <c r="F190" s="2" t="s">
        <v>0</v>
      </c>
      <c r="G190" s="2"/>
      <c r="H190" s="61"/>
      <c r="I190" s="2"/>
      <c r="J190" s="3">
        <f>Table156781317[[#This Row],[Miktar]]+J189</f>
        <v>228268.00000000003</v>
      </c>
    </row>
    <row r="191" spans="2:10" ht="17" x14ac:dyDescent="0.2">
      <c r="B191" s="122">
        <v>401880</v>
      </c>
      <c r="C191" s="2"/>
      <c r="D191" s="79">
        <v>45936</v>
      </c>
      <c r="E191" s="7">
        <f>-79893.8/0.35</f>
        <v>-228268.00000000003</v>
      </c>
      <c r="F191" s="2" t="s">
        <v>23</v>
      </c>
      <c r="G191" s="2" t="s">
        <v>72</v>
      </c>
      <c r="H191" s="61" t="s">
        <v>90</v>
      </c>
      <c r="I191" s="2" t="s">
        <v>12</v>
      </c>
      <c r="J191" s="3">
        <f>Table156781317[[#This Row],[Miktar]]+J190</f>
        <v>0</v>
      </c>
    </row>
    <row r="192" spans="2:10" x14ac:dyDescent="0.2">
      <c r="B192" s="12">
        <v>401890</v>
      </c>
      <c r="C192" s="8">
        <f>Table156781317[[#This Row],[Tarih]]</f>
        <v>45962</v>
      </c>
      <c r="D192" s="79">
        <v>45962</v>
      </c>
      <c r="E192" s="7">
        <f>79893.8/0.35</f>
        <v>228268.00000000003</v>
      </c>
      <c r="F192" s="2" t="s">
        <v>0</v>
      </c>
      <c r="G192" s="2"/>
      <c r="H192" s="61"/>
      <c r="I192" s="2"/>
      <c r="J192" s="3">
        <f>Table156781317[[#This Row],[Miktar]]+J191</f>
        <v>228268.00000000003</v>
      </c>
    </row>
    <row r="193" spans="2:10" ht="17" x14ac:dyDescent="0.2">
      <c r="B193" s="122">
        <v>401900</v>
      </c>
      <c r="C193" s="2"/>
      <c r="D193" s="79">
        <v>45966</v>
      </c>
      <c r="E193" s="7">
        <f>-79893.8/0.35</f>
        <v>-228268.00000000003</v>
      </c>
      <c r="F193" s="2" t="s">
        <v>23</v>
      </c>
      <c r="G193" s="2" t="s">
        <v>72</v>
      </c>
      <c r="H193" s="61" t="s">
        <v>90</v>
      </c>
      <c r="I193" s="2" t="s">
        <v>12</v>
      </c>
      <c r="J193" s="3">
        <f>Table156781317[[#This Row],[Miktar]]+J192</f>
        <v>0</v>
      </c>
    </row>
    <row r="194" spans="2:10" x14ac:dyDescent="0.2">
      <c r="B194" s="12">
        <v>401910</v>
      </c>
      <c r="C194" s="8">
        <f>Table156781317[[#This Row],[Tarih]]</f>
        <v>45992</v>
      </c>
      <c r="D194" s="79">
        <v>45992</v>
      </c>
      <c r="E194" s="7">
        <f>79893.8/0.35</f>
        <v>228268.00000000003</v>
      </c>
      <c r="F194" s="2" t="s">
        <v>0</v>
      </c>
      <c r="G194" s="2"/>
      <c r="H194" s="61"/>
      <c r="I194" s="2"/>
      <c r="J194" s="3">
        <f>Table156781317[[#This Row],[Miktar]]+J193</f>
        <v>228268.00000000003</v>
      </c>
    </row>
    <row r="195" spans="2:10" ht="17" x14ac:dyDescent="0.2">
      <c r="B195" s="122">
        <v>401920</v>
      </c>
      <c r="C195" s="2"/>
      <c r="D195" s="79">
        <v>45996</v>
      </c>
      <c r="E195" s="7">
        <f>-79893.8/0.35</f>
        <v>-228268.00000000003</v>
      </c>
      <c r="F195" s="2" t="s">
        <v>23</v>
      </c>
      <c r="G195" s="2" t="s">
        <v>72</v>
      </c>
      <c r="H195" s="61" t="s">
        <v>90</v>
      </c>
      <c r="I195" s="2" t="s">
        <v>12</v>
      </c>
      <c r="J195" s="3">
        <f>Table156781317[[#This Row],[Miktar]]+J194</f>
        <v>0</v>
      </c>
    </row>
    <row r="196" spans="2:10" x14ac:dyDescent="0.2">
      <c r="B196" s="12">
        <v>401930</v>
      </c>
      <c r="C196" s="8">
        <f>Table156781317[[#This Row],[Tarih]]</f>
        <v>46023</v>
      </c>
      <c r="D196" s="79">
        <v>46023</v>
      </c>
      <c r="E196" s="7">
        <f>79893.8/0.35</f>
        <v>228268.00000000003</v>
      </c>
      <c r="F196" s="2" t="s">
        <v>0</v>
      </c>
      <c r="G196" s="2"/>
      <c r="H196" s="61"/>
      <c r="I196" s="2"/>
      <c r="J196" s="3">
        <f>Table156781317[[#This Row],[Miktar]]+J195</f>
        <v>228268.00000000003</v>
      </c>
    </row>
    <row r="197" spans="2:10" ht="17" x14ac:dyDescent="0.2">
      <c r="B197" s="122">
        <v>401940</v>
      </c>
      <c r="C197" s="2"/>
      <c r="D197" s="79">
        <v>46027</v>
      </c>
      <c r="E197" s="7">
        <f>-79893.8/0.35</f>
        <v>-228268.00000000003</v>
      </c>
      <c r="F197" s="2" t="s">
        <v>23</v>
      </c>
      <c r="G197" s="2" t="s">
        <v>72</v>
      </c>
      <c r="H197" s="61" t="s">
        <v>90</v>
      </c>
      <c r="I197" s="2" t="s">
        <v>12</v>
      </c>
      <c r="J197" s="3">
        <f>Table156781317[[#This Row],[Miktar]]+J196</f>
        <v>0</v>
      </c>
    </row>
    <row r="198" spans="2:10" x14ac:dyDescent="0.2">
      <c r="B198" s="12">
        <v>401950</v>
      </c>
      <c r="C198" s="8">
        <f>Table156781317[[#This Row],[Tarih]]</f>
        <v>46054</v>
      </c>
      <c r="D198" s="79">
        <v>46054</v>
      </c>
      <c r="E198" s="7">
        <f>79893.8/0.35</f>
        <v>228268.00000000003</v>
      </c>
      <c r="F198" s="2" t="s">
        <v>0</v>
      </c>
      <c r="G198" s="2"/>
      <c r="H198" s="61"/>
      <c r="I198" s="2"/>
      <c r="J198" s="3">
        <f>Table156781317[[#This Row],[Miktar]]+J197</f>
        <v>228268.00000000003</v>
      </c>
    </row>
    <row r="199" spans="2:10" ht="17" x14ac:dyDescent="0.2">
      <c r="B199" s="122">
        <v>401960</v>
      </c>
      <c r="C199" s="2"/>
      <c r="D199" s="79">
        <v>46058</v>
      </c>
      <c r="E199" s="7">
        <f>-79893.8/0.35</f>
        <v>-228268.00000000003</v>
      </c>
      <c r="F199" s="2" t="s">
        <v>23</v>
      </c>
      <c r="G199" s="2" t="s">
        <v>72</v>
      </c>
      <c r="H199" s="61" t="s">
        <v>90</v>
      </c>
      <c r="I199" s="2" t="s">
        <v>12</v>
      </c>
      <c r="J199" s="3">
        <f>Table156781317[[#This Row],[Miktar]]+J198</f>
        <v>0</v>
      </c>
    </row>
    <row r="200" spans="2:10" x14ac:dyDescent="0.2">
      <c r="B200" s="12">
        <v>401970</v>
      </c>
      <c r="C200" s="8">
        <f>Table156781317[[#This Row],[Tarih]]</f>
        <v>46082</v>
      </c>
      <c r="D200" s="79">
        <v>46082</v>
      </c>
      <c r="E200" s="7">
        <f>79893.8/0.35</f>
        <v>228268.00000000003</v>
      </c>
      <c r="F200" s="2" t="s">
        <v>0</v>
      </c>
      <c r="G200" s="2"/>
      <c r="H200" s="61"/>
      <c r="I200" s="2"/>
      <c r="J200" s="3">
        <f>Table156781317[[#This Row],[Miktar]]+J199</f>
        <v>228268.00000000003</v>
      </c>
    </row>
    <row r="201" spans="2:10" ht="17" x14ac:dyDescent="0.2">
      <c r="B201" s="122">
        <v>401980</v>
      </c>
      <c r="C201" s="2"/>
      <c r="D201" s="79">
        <v>46086</v>
      </c>
      <c r="E201" s="7">
        <f>-79893.8/0.35</f>
        <v>-228268.00000000003</v>
      </c>
      <c r="F201" s="2" t="s">
        <v>23</v>
      </c>
      <c r="G201" s="2" t="s">
        <v>72</v>
      </c>
      <c r="H201" s="61" t="s">
        <v>90</v>
      </c>
      <c r="I201" s="2" t="s">
        <v>12</v>
      </c>
      <c r="J201" s="3">
        <f>Table156781317[[#This Row],[Miktar]]+J200</f>
        <v>0</v>
      </c>
    </row>
    <row r="202" spans="2:10" x14ac:dyDescent="0.2">
      <c r="B202" s="18">
        <v>401990</v>
      </c>
      <c r="C202" s="256">
        <f>Table156781317[[#This Row],[Tarih]]</f>
        <v>46113</v>
      </c>
      <c r="D202" s="89">
        <v>46113</v>
      </c>
      <c r="E202" s="11">
        <f>79893.8/0.35</f>
        <v>228268.00000000003</v>
      </c>
      <c r="F202" s="4" t="s">
        <v>0</v>
      </c>
      <c r="G202" s="4"/>
      <c r="H202" s="302"/>
      <c r="I202" s="4"/>
      <c r="J202" s="38">
        <f>Table156781317[[#This Row],[Miktar]]+J201</f>
        <v>228268.00000000003</v>
      </c>
    </row>
    <row r="203" spans="2:10" x14ac:dyDescent="0.2">
      <c r="B203" s="303">
        <v>402000</v>
      </c>
      <c r="C203" s="4"/>
      <c r="D203" s="89"/>
      <c r="E203" s="4"/>
      <c r="F203" s="4"/>
      <c r="G203" s="4"/>
      <c r="H203" s="302"/>
      <c r="I203" s="4"/>
      <c r="J203" s="38">
        <f>Table156781317[[#This Row],[Miktar]]+J202</f>
        <v>228268.00000000003</v>
      </c>
    </row>
    <row r="210" spans="7:7" x14ac:dyDescent="0.2">
      <c r="G210">
        <v>73778.490000000005</v>
      </c>
    </row>
    <row r="211" spans="7:7" x14ac:dyDescent="0.2">
      <c r="G211">
        <v>554.97</v>
      </c>
    </row>
    <row r="212" spans="7:7" x14ac:dyDescent="0.2">
      <c r="G212">
        <f>G210-G211</f>
        <v>73223.520000000004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0B14B-B639-AD49-9F0E-2BA0455265E9}">
  <dimension ref="B4:I39"/>
  <sheetViews>
    <sheetView topLeftCell="A2" zoomScale="103" workbookViewId="0">
      <selection activeCell="G5" sqref="G5"/>
    </sheetView>
  </sheetViews>
  <sheetFormatPr baseColWidth="10" defaultRowHeight="16" x14ac:dyDescent="0.2"/>
  <cols>
    <col min="2" max="2" width="35.33203125" bestFit="1" customWidth="1"/>
    <col min="3" max="3" width="16.33203125" bestFit="1" customWidth="1"/>
    <col min="4" max="4" width="20.83203125" bestFit="1" customWidth="1"/>
    <col min="5" max="5" width="11.5" bestFit="1" customWidth="1"/>
    <col min="6" max="6" width="12.5" bestFit="1" customWidth="1"/>
    <col min="7" max="7" width="7.6640625" bestFit="1" customWidth="1"/>
    <col min="8" max="8" width="12.5" bestFit="1" customWidth="1"/>
    <col min="9" max="9" width="11.5" bestFit="1" customWidth="1"/>
    <col min="16" max="16" width="12.1640625" bestFit="1" customWidth="1"/>
  </cols>
  <sheetData>
    <row r="4" spans="2:8" x14ac:dyDescent="0.2">
      <c r="B4" s="24" t="s">
        <v>18</v>
      </c>
      <c r="C4" s="24" t="s">
        <v>40</v>
      </c>
      <c r="D4" s="24" t="s">
        <v>41</v>
      </c>
      <c r="E4" s="24" t="s">
        <v>34</v>
      </c>
      <c r="F4" s="24" t="s">
        <v>14</v>
      </c>
      <c r="G4" s="24" t="s">
        <v>13</v>
      </c>
      <c r="H4" s="24" t="s">
        <v>137</v>
      </c>
    </row>
    <row r="5" spans="2:8" x14ac:dyDescent="0.2">
      <c r="B5" s="41" t="s">
        <v>17</v>
      </c>
      <c r="C5" s="127">
        <v>43023</v>
      </c>
      <c r="D5" s="127">
        <f>C5+364</f>
        <v>43387</v>
      </c>
      <c r="E5" s="41" t="s">
        <v>35</v>
      </c>
      <c r="F5" s="41" t="s">
        <v>11</v>
      </c>
      <c r="G5" s="41" t="s">
        <v>59</v>
      </c>
      <c r="H5" s="41" t="s">
        <v>139</v>
      </c>
    </row>
    <row r="6" spans="2:8" x14ac:dyDescent="0.2">
      <c r="B6" s="2" t="s">
        <v>39</v>
      </c>
      <c r="C6" s="126">
        <v>43110</v>
      </c>
      <c r="D6" s="126">
        <f>C6+364</f>
        <v>43474</v>
      </c>
      <c r="E6" s="2" t="s">
        <v>36</v>
      </c>
      <c r="F6" s="2" t="s">
        <v>11</v>
      </c>
      <c r="G6" s="2" t="s">
        <v>60</v>
      </c>
      <c r="H6" s="2" t="s">
        <v>138</v>
      </c>
    </row>
    <row r="7" spans="2:8" x14ac:dyDescent="0.2">
      <c r="B7" s="41" t="s">
        <v>58</v>
      </c>
      <c r="C7" s="127">
        <v>44331</v>
      </c>
      <c r="D7" s="127">
        <f>C7+364</f>
        <v>44695</v>
      </c>
      <c r="E7" s="41" t="s">
        <v>37</v>
      </c>
      <c r="F7" s="41" t="s">
        <v>11</v>
      </c>
      <c r="G7" s="41" t="s">
        <v>61</v>
      </c>
      <c r="H7" s="41" t="s">
        <v>139</v>
      </c>
    </row>
    <row r="8" spans="2:8" x14ac:dyDescent="0.2">
      <c r="B8" s="2" t="s">
        <v>12</v>
      </c>
      <c r="C8" s="126">
        <v>43221</v>
      </c>
      <c r="D8" s="126">
        <f>C8+364+364+364</f>
        <v>44313</v>
      </c>
      <c r="E8" s="2" t="s">
        <v>38</v>
      </c>
      <c r="F8" s="2" t="s">
        <v>11</v>
      </c>
      <c r="G8" s="2" t="s">
        <v>16</v>
      </c>
      <c r="H8" s="2" t="s">
        <v>138</v>
      </c>
    </row>
    <row r="9" spans="2:8" x14ac:dyDescent="0.2">
      <c r="B9" s="2" t="s">
        <v>86</v>
      </c>
      <c r="C9" s="126">
        <v>44470</v>
      </c>
      <c r="D9" s="126">
        <v>44834</v>
      </c>
      <c r="E9" s="2" t="s">
        <v>37</v>
      </c>
      <c r="F9" s="2" t="s">
        <v>11</v>
      </c>
      <c r="G9" s="2" t="s">
        <v>61</v>
      </c>
      <c r="H9" s="2" t="s">
        <v>138</v>
      </c>
    </row>
    <row r="10" spans="2:8" x14ac:dyDescent="0.2">
      <c r="B10" s="41" t="s">
        <v>77</v>
      </c>
      <c r="C10" s="127">
        <v>44409</v>
      </c>
      <c r="D10" s="127">
        <v>44408</v>
      </c>
      <c r="E10" s="41" t="s">
        <v>35</v>
      </c>
      <c r="F10" s="41" t="s">
        <v>11</v>
      </c>
      <c r="G10" s="41" t="s">
        <v>59</v>
      </c>
      <c r="H10" s="41" t="s">
        <v>139</v>
      </c>
    </row>
    <row r="11" spans="2:8" x14ac:dyDescent="0.2">
      <c r="B11" s="2" t="s">
        <v>136</v>
      </c>
      <c r="C11" s="126">
        <v>44835</v>
      </c>
      <c r="D11" s="126">
        <v>2958465</v>
      </c>
      <c r="E11" s="2" t="s">
        <v>35</v>
      </c>
      <c r="F11" s="2" t="s">
        <v>11</v>
      </c>
      <c r="G11" s="2" t="s">
        <v>59</v>
      </c>
      <c r="H11" s="2" t="s">
        <v>138</v>
      </c>
    </row>
    <row r="19" spans="2:9" x14ac:dyDescent="0.2">
      <c r="B19" s="1" t="s">
        <v>128</v>
      </c>
      <c r="C19" s="1" t="s">
        <v>123</v>
      </c>
      <c r="D19" s="1" t="s">
        <v>124</v>
      </c>
      <c r="E19" s="1" t="s">
        <v>126</v>
      </c>
      <c r="F19" s="1" t="s">
        <v>125</v>
      </c>
    </row>
    <row r="20" spans="2:9" x14ac:dyDescent="0.2">
      <c r="B20" t="s">
        <v>122</v>
      </c>
      <c r="C20" s="109">
        <v>51000</v>
      </c>
      <c r="D20" s="108">
        <v>0.56279999999999997</v>
      </c>
      <c r="E20" s="109">
        <f>F20-C20</f>
        <v>28702.800000000003</v>
      </c>
      <c r="F20" s="109">
        <f>C20*(D20+1)</f>
        <v>79702.8</v>
      </c>
      <c r="I20" s="125"/>
    </row>
    <row r="21" spans="2:9" x14ac:dyDescent="0.2">
      <c r="B21" t="s">
        <v>86</v>
      </c>
      <c r="C21" s="109">
        <v>24000</v>
      </c>
      <c r="D21" s="108">
        <f>D20</f>
        <v>0.56279999999999997</v>
      </c>
      <c r="E21" s="109">
        <f>F21-C21</f>
        <v>13507.199999999997</v>
      </c>
      <c r="F21" s="109">
        <f>C21*(D21+1)</f>
        <v>37507.199999999997</v>
      </c>
      <c r="I21" s="125"/>
    </row>
    <row r="22" spans="2:9" x14ac:dyDescent="0.2">
      <c r="B22" t="s">
        <v>15</v>
      </c>
      <c r="C22" s="109">
        <v>27000</v>
      </c>
      <c r="D22" s="108">
        <f>D21</f>
        <v>0.56279999999999997</v>
      </c>
      <c r="E22" s="109">
        <f>F22-C22</f>
        <v>15195.599999999999</v>
      </c>
      <c r="F22" s="109">
        <f>C22*(D22+1)</f>
        <v>42195.6</v>
      </c>
      <c r="I22" s="125"/>
    </row>
    <row r="24" spans="2:9" x14ac:dyDescent="0.2">
      <c r="B24" s="1" t="s">
        <v>127</v>
      </c>
      <c r="C24" s="1" t="s">
        <v>123</v>
      </c>
      <c r="D24" s="1" t="s">
        <v>124</v>
      </c>
      <c r="E24" s="1" t="s">
        <v>126</v>
      </c>
      <c r="F24" s="1" t="s">
        <v>125</v>
      </c>
    </row>
    <row r="25" spans="2:9" x14ac:dyDescent="0.2">
      <c r="B25" t="s">
        <v>122</v>
      </c>
      <c r="C25" s="109">
        <v>51000</v>
      </c>
      <c r="D25" s="108">
        <v>0.67200000000000004</v>
      </c>
      <c r="E25" s="109">
        <f>F25-C25</f>
        <v>34272.000000000015</v>
      </c>
      <c r="F25" s="109">
        <f>C25*(D25+1)</f>
        <v>85272.000000000015</v>
      </c>
    </row>
    <row r="26" spans="2:9" x14ac:dyDescent="0.2">
      <c r="B26" t="s">
        <v>86</v>
      </c>
      <c r="C26" s="109">
        <v>24000</v>
      </c>
      <c r="D26" s="108">
        <f>D25</f>
        <v>0.67200000000000004</v>
      </c>
      <c r="E26" s="109">
        <f>F26-C26</f>
        <v>16128.000000000007</v>
      </c>
      <c r="F26" s="109">
        <f>C26*(D26+1)</f>
        <v>40128.000000000007</v>
      </c>
    </row>
    <row r="27" spans="2:9" x14ac:dyDescent="0.2">
      <c r="B27" t="s">
        <v>15</v>
      </c>
      <c r="C27" s="109">
        <v>27000</v>
      </c>
      <c r="D27" s="108">
        <f>D26</f>
        <v>0.67200000000000004</v>
      </c>
      <c r="E27" s="109">
        <f>F27-C27</f>
        <v>18144.000000000007</v>
      </c>
      <c r="F27" s="109">
        <f>C27*(D27+1)</f>
        <v>45144.000000000007</v>
      </c>
      <c r="H27" s="109"/>
      <c r="I27" s="109"/>
    </row>
    <row r="29" spans="2:9" x14ac:dyDescent="0.2">
      <c r="B29" s="1" t="s">
        <v>129</v>
      </c>
      <c r="C29" s="1" t="s">
        <v>123</v>
      </c>
      <c r="D29" s="1" t="s">
        <v>124</v>
      </c>
      <c r="E29" s="1" t="s">
        <v>126</v>
      </c>
      <c r="F29" s="1" t="s">
        <v>125</v>
      </c>
    </row>
    <row r="30" spans="2:9" x14ac:dyDescent="0.2">
      <c r="B30" t="s">
        <v>122</v>
      </c>
      <c r="C30" s="109">
        <v>51000</v>
      </c>
      <c r="D30" s="108">
        <v>1</v>
      </c>
      <c r="E30" s="109">
        <f>F30-C30</f>
        <v>51000</v>
      </c>
      <c r="F30" s="109">
        <f>C30*(D30+1)</f>
        <v>102000</v>
      </c>
    </row>
    <row r="31" spans="2:9" x14ac:dyDescent="0.2">
      <c r="B31" t="s">
        <v>86</v>
      </c>
      <c r="C31" s="109">
        <v>24000</v>
      </c>
      <c r="D31" s="108">
        <f>D30</f>
        <v>1</v>
      </c>
      <c r="E31" s="109">
        <f>F31-C31</f>
        <v>24000</v>
      </c>
      <c r="F31" s="109">
        <f>C31*(D31+1)</f>
        <v>48000</v>
      </c>
    </row>
    <row r="32" spans="2:9" x14ac:dyDescent="0.2">
      <c r="B32" t="s">
        <v>15</v>
      </c>
      <c r="C32" s="109">
        <v>27000</v>
      </c>
      <c r="D32" s="108">
        <f>D31</f>
        <v>1</v>
      </c>
      <c r="E32" s="109">
        <f>F32-C32</f>
        <v>27000</v>
      </c>
      <c r="F32" s="109">
        <f>C32*(D32+1)</f>
        <v>54000</v>
      </c>
      <c r="H32" s="109"/>
      <c r="I32" s="109"/>
    </row>
    <row r="37" spans="3:5" x14ac:dyDescent="0.2">
      <c r="C37">
        <v>57500</v>
      </c>
      <c r="D37">
        <v>51000</v>
      </c>
      <c r="E37">
        <v>51000</v>
      </c>
    </row>
    <row r="38" spans="3:5" x14ac:dyDescent="0.2">
      <c r="C38">
        <v>96140</v>
      </c>
      <c r="D38">
        <v>88689</v>
      </c>
      <c r="E38">
        <v>96140</v>
      </c>
    </row>
    <row r="39" spans="3:5" x14ac:dyDescent="0.2">
      <c r="C39">
        <f>C38/C37</f>
        <v>1.6719999999999999</v>
      </c>
      <c r="D39">
        <f>D38/D37</f>
        <v>1.7390000000000001</v>
      </c>
      <c r="E39">
        <f>E38/E37</f>
        <v>1.8850980392156862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Can-Selim Kira alacak verecek</vt:lpstr>
      <vt:lpstr>GOP-1 - RED NIRVANA</vt:lpstr>
      <vt:lpstr>GOP-2 - Murat Bayram</vt:lpstr>
      <vt:lpstr>GOP-3 - Emre Barut</vt:lpstr>
      <vt:lpstr>GOP-4 - Birevim</vt:lpstr>
      <vt:lpstr>Kontrat Bilgileri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Can Boyacioglu</cp:lastModifiedBy>
  <dcterms:created xsi:type="dcterms:W3CDTF">2021-04-15T14:36:04Z</dcterms:created>
  <dcterms:modified xsi:type="dcterms:W3CDTF">2026-03-12T14:38:11Z</dcterms:modified>
</cp:coreProperties>
</file>